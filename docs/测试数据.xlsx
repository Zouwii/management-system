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绩效一览表" sheetId="6" r:id="rId1"/>
    <sheet name="结余表测试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<sst xmlns="http://schemas.openxmlformats.org/spreadsheetml/2006/main" count="277" uniqueCount="32">
  <si>
    <t>年份</t>
  </si>
  <si>
    <t>2023年</t>
  </si>
  <si>
    <t>2024年</t>
  </si>
  <si>
    <t>2025年</t>
  </si>
  <si>
    <t>导航组</t>
  </si>
  <si>
    <t>23年Q3季度绩效</t>
  </si>
  <si>
    <t>23年Q4季度绩效</t>
  </si>
  <si>
    <t>24年Q1季度绩效</t>
  </si>
  <si>
    <t>24年Q2季度绩效</t>
  </si>
  <si>
    <t>24年Q3季度绩效</t>
  </si>
  <si>
    <t>24年Q4季度绩效</t>
  </si>
  <si>
    <t>25年Q1季度绩效</t>
  </si>
  <si>
    <t>25年Q2季度绩效</t>
  </si>
  <si>
    <t>25年Q3季度绩效</t>
  </si>
  <si>
    <t>25年Q4季度绩效</t>
  </si>
  <si>
    <t>工时绩效</t>
  </si>
  <si>
    <t>主管绩效</t>
  </si>
  <si>
    <t>总体绩效</t>
  </si>
  <si>
    <t>结余绩效</t>
  </si>
  <si>
    <t>最终绩效</t>
  </si>
  <si>
    <t>张三</t>
  </si>
  <si>
    <t>\</t>
  </si>
  <si>
    <t>李四</t>
  </si>
  <si>
    <t>导航组绩效结余数据</t>
  </si>
  <si>
    <t>1.张三</t>
  </si>
  <si>
    <t>补偿值</t>
  </si>
  <si>
    <t>区间上限</t>
  </si>
  <si>
    <t>溢出值</t>
  </si>
  <si>
    <t>区间下限</t>
  </si>
  <si>
    <t>本季度结余</t>
  </si>
  <si>
    <t>衰减分数</t>
  </si>
  <si>
    <t>2.李四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</si>
</sst>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等线"/>
      <charset val="134"/>
      <scheme val="minor"/>
    </font>
    <font>
      <b/>
      <sz val="12"/>
      <name val="等线"/>
      <charset val="134"/>
      <scheme val="minor"/>
    </font>
    <font>
      <sz val="10"/>
      <name val="等线"/>
      <charset val="134"/>
      <scheme val="minor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5DFB4"/>
        <bgColor indexed="64"/>
      </patternFill>
    </fill>
    <fill>
      <patternFill patternType="solid">
        <fgColor rgb="FFFFF3CE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DAE2F6"/>
        <bgColor indexed="64"/>
      </patternFill>
    </fill>
    <fill>
      <patternFill patternType="solid">
        <fgColor rgb="FFFDEADA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DFEBF6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579A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ED7D3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5" borderId="1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6" borderId="19" applyNumberFormat="0" applyAlignment="0" applyProtection="0">
      <alignment vertical="center"/>
    </xf>
    <xf numFmtId="0" fontId="15" fillId="17" borderId="20" applyNumberFormat="0" applyAlignment="0" applyProtection="0">
      <alignment vertical="center"/>
    </xf>
    <xf numFmtId="0" fontId="16" fillId="17" borderId="19" applyNumberFormat="0" applyAlignment="0" applyProtection="0">
      <alignment vertical="center"/>
    </xf>
    <xf numFmtId="0" fontId="17" fillId="13" borderId="21" applyNumberFormat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" fillId="2" borderId="1" xfId="0" applyFont="1" applyFill="1" applyBorder="1" applyAlignment="1" applyProtection="1">
      <alignment horizontal="center" vertical="center"/>
    </xf>
    <xf numFmtId="0" fontId="2" fillId="0" borderId="2" xfId="0" applyFont="1" applyBorder="1" applyProtection="1">
      <alignment vertical="center"/>
    </xf>
    <xf numFmtId="0" fontId="2" fillId="0" borderId="3" xfId="0" applyFont="1" applyBorder="1" applyProtection="1">
      <alignment vertical="center"/>
    </xf>
    <xf numFmtId="0" fontId="1" fillId="3" borderId="4" xfId="0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Protection="1">
      <alignment vertical="center"/>
    </xf>
    <xf numFmtId="0" fontId="2" fillId="3" borderId="3" xfId="0" applyFont="1" applyFill="1" applyBorder="1" applyProtection="1">
      <alignment vertical="center"/>
    </xf>
    <xf numFmtId="0" fontId="1" fillId="4" borderId="1" xfId="0" applyFont="1" applyFill="1" applyBorder="1" applyAlignment="1" applyProtection="1">
      <alignment horizontal="center" vertical="center"/>
    </xf>
    <xf numFmtId="0" fontId="2" fillId="4" borderId="2" xfId="0" applyFont="1" applyFill="1" applyBorder="1" applyProtection="1">
      <alignment vertical="center"/>
    </xf>
    <xf numFmtId="0" fontId="2" fillId="4" borderId="3" xfId="0" applyFont="1" applyFill="1" applyBorder="1" applyProtection="1">
      <alignment vertical="center"/>
    </xf>
    <xf numFmtId="0" fontId="1" fillId="5" borderId="1" xfId="0" applyFont="1" applyFill="1" applyBorder="1" applyAlignment="1" applyProtection="1">
      <alignment horizontal="center" vertical="center"/>
    </xf>
    <xf numFmtId="0" fontId="2" fillId="5" borderId="2" xfId="0" applyFont="1" applyFill="1" applyBorder="1" applyProtection="1">
      <alignment vertical="center"/>
    </xf>
    <xf numFmtId="0" fontId="2" fillId="5" borderId="3" xfId="0" applyFont="1" applyFill="1" applyBorder="1" applyProtection="1">
      <alignment vertical="center"/>
    </xf>
    <xf numFmtId="0" fontId="3" fillId="0" borderId="4" xfId="0" applyFont="1" applyBorder="1" applyAlignment="1" applyProtection="1">
      <alignment horizontal="center" vertical="center"/>
    </xf>
    <xf numFmtId="0" fontId="4" fillId="6" borderId="1" xfId="0" applyFont="1" applyFill="1" applyBorder="1" applyAlignment="1" applyProtection="1">
      <alignment horizontal="center" vertical="center"/>
    </xf>
    <xf numFmtId="0" fontId="4" fillId="6" borderId="2" xfId="0" applyFont="1" applyFill="1" applyBorder="1" applyAlignment="1" applyProtection="1">
      <alignment horizontal="center" vertical="center"/>
    </xf>
    <xf numFmtId="0" fontId="4" fillId="6" borderId="4" xfId="0" applyFont="1" applyFill="1" applyBorder="1" applyAlignment="1" applyProtection="1">
      <alignment horizontal="center" vertical="center"/>
    </xf>
    <xf numFmtId="0" fontId="4" fillId="7" borderId="4" xfId="0" applyFont="1" applyFill="1" applyBorder="1" applyAlignment="1" applyProtection="1"/>
    <xf numFmtId="0" fontId="3" fillId="0" borderId="4" xfId="0" applyFont="1" applyBorder="1" applyAlignment="1" applyProtection="1">
      <alignment horizontal="center"/>
    </xf>
    <xf numFmtId="0" fontId="4" fillId="0" borderId="4" xfId="0" applyFont="1" applyBorder="1" applyAlignment="1" applyProtection="1"/>
    <xf numFmtId="0" fontId="3" fillId="0" borderId="1" xfId="0" applyFont="1" applyBorder="1" applyAlignment="1" applyProtection="1">
      <alignment horizontal="center"/>
    </xf>
    <xf numFmtId="0" fontId="4" fillId="8" borderId="4" xfId="0" applyFont="1" applyFill="1" applyBorder="1" applyAlignment="1" applyProtection="1"/>
    <xf numFmtId="0" fontId="3" fillId="0" borderId="4" xfId="0" applyFont="1" applyBorder="1" applyAlignment="1" applyProtection="1"/>
    <xf numFmtId="0" fontId="3" fillId="0" borderId="4" xfId="0" applyFont="1" applyBorder="1" applyAlignment="1" applyProtection="1">
      <alignment horizontal="center" wrapText="1"/>
    </xf>
    <xf numFmtId="0" fontId="3" fillId="0" borderId="4" xfId="0" applyFont="1" applyBorder="1" applyProtection="1">
      <alignment vertical="center"/>
    </xf>
    <xf numFmtId="0" fontId="3" fillId="0" borderId="3" xfId="0" applyFont="1" applyBorder="1" applyAlignment="1" applyProtection="1"/>
    <xf numFmtId="0" fontId="2" fillId="0" borderId="5" xfId="0" applyFont="1" applyBorder="1" applyProtection="1">
      <alignment vertical="center"/>
    </xf>
    <xf numFmtId="0" fontId="2" fillId="0" borderId="0" xfId="0" applyFont="1" applyAlignment="1">
      <alignment horizontal="center" vertical="center"/>
    </xf>
    <xf numFmtId="0" fontId="1" fillId="3" borderId="6" xfId="0" applyFont="1" applyFill="1" applyBorder="1" applyAlignment="1" applyProtection="1">
      <alignment horizontal="center" vertical="center"/>
    </xf>
    <xf numFmtId="0" fontId="1" fillId="3" borderId="7" xfId="0" applyFont="1" applyFill="1" applyBorder="1" applyAlignment="1" applyProtection="1">
      <alignment horizontal="center" vertical="center"/>
    </xf>
    <xf numFmtId="0" fontId="1" fillId="9" borderId="1" xfId="0" applyFont="1" applyFill="1" applyBorder="1" applyAlignment="1" applyProtection="1">
      <alignment horizontal="center" vertical="center"/>
    </xf>
    <xf numFmtId="0" fontId="2" fillId="9" borderId="2" xfId="0" applyFont="1" applyFill="1" applyBorder="1" applyProtection="1">
      <alignment vertical="center"/>
    </xf>
    <xf numFmtId="0" fontId="1" fillId="10" borderId="1" xfId="0" applyFont="1" applyFill="1" applyBorder="1" applyAlignment="1" applyProtection="1">
      <alignment horizontal="center" vertical="center"/>
    </xf>
    <xf numFmtId="0" fontId="2" fillId="10" borderId="2" xfId="0" applyFont="1" applyFill="1" applyBorder="1" applyProtection="1">
      <alignment vertical="center"/>
    </xf>
    <xf numFmtId="0" fontId="2" fillId="10" borderId="3" xfId="0" applyFont="1" applyFill="1" applyBorder="1" applyProtection="1">
      <alignment vertical="center"/>
    </xf>
    <xf numFmtId="0" fontId="2" fillId="0" borderId="0" xfId="0" applyFont="1">
      <alignment vertical="center"/>
    </xf>
    <xf numFmtId="0" fontId="2" fillId="0" borderId="8" xfId="0" applyFont="1" applyBorder="1" applyProtection="1">
      <alignment vertical="center"/>
    </xf>
    <xf numFmtId="0" fontId="2" fillId="0" borderId="9" xfId="0" applyFont="1" applyBorder="1" applyProtection="1">
      <alignment vertical="center"/>
    </xf>
    <xf numFmtId="0" fontId="2" fillId="0" borderId="10" xfId="0" applyFont="1" applyBorder="1" applyAlignment="1" applyProtection="1">
      <alignment horizontal="left" vertical="center"/>
    </xf>
    <xf numFmtId="0" fontId="4" fillId="6" borderId="11" xfId="0" applyFont="1" applyFill="1" applyBorder="1" applyAlignment="1" applyProtection="1">
      <alignment horizontal="center" vertical="center"/>
    </xf>
    <xf numFmtId="0" fontId="4" fillId="6" borderId="12" xfId="0" applyFont="1" applyFill="1" applyBorder="1" applyAlignment="1" applyProtection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6" borderId="13" xfId="0" applyFont="1" applyFill="1" applyBorder="1" applyAlignment="1" applyProtection="1">
      <alignment horizontal="center" vertical="center"/>
    </xf>
    <xf numFmtId="0" fontId="2" fillId="0" borderId="7" xfId="0" applyFont="1" applyBorder="1" applyAlignment="1" applyProtection="1">
      <alignment horizontal="center" vertical="center"/>
    </xf>
    <xf numFmtId="0" fontId="4" fillId="7" borderId="7" xfId="0" applyFont="1" applyFill="1" applyBorder="1" applyAlignment="1" applyProtection="1">
      <alignment horizontal="center"/>
    </xf>
    <xf numFmtId="0" fontId="4" fillId="11" borderId="7" xfId="0" applyFont="1" applyFill="1" applyBorder="1" applyAlignment="1" applyProtection="1">
      <alignment horizontal="center"/>
    </xf>
    <xf numFmtId="0" fontId="4" fillId="12" borderId="5" xfId="0" applyFont="1" applyFill="1" applyBorder="1" applyAlignment="1" applyProtection="1">
      <alignment horizontal="center"/>
    </xf>
    <xf numFmtId="0" fontId="4" fillId="13" borderId="5" xfId="0" applyFont="1" applyFill="1" applyBorder="1" applyAlignment="1" applyProtection="1">
      <alignment horizontal="center"/>
    </xf>
    <xf numFmtId="0" fontId="4" fillId="14" borderId="5" xfId="0" applyFont="1" applyFill="1" applyBorder="1" applyAlignment="1" applyProtection="1">
      <alignment horizontal="center"/>
    </xf>
    <xf numFmtId="0" fontId="4" fillId="14" borderId="14" xfId="0" applyFont="1" applyFill="1" applyBorder="1" applyAlignment="1" applyProtection="1">
      <alignment horizontal="center"/>
    </xf>
    <xf numFmtId="0" fontId="4" fillId="7" borderId="5" xfId="0" applyFont="1" applyFill="1" applyBorder="1" applyAlignment="1" applyProtection="1">
      <alignment horizontal="center"/>
    </xf>
    <xf numFmtId="0" fontId="1" fillId="0" borderId="15" xfId="0" applyFont="1" applyBorder="1" applyAlignment="1" applyProtection="1">
      <alignment horizontal="left" vertical="center"/>
    </xf>
    <xf numFmtId="0" fontId="3" fillId="14" borderId="15" xfId="0" applyFont="1" applyFill="1" applyBorder="1" applyAlignment="1" applyProtection="1">
      <alignment horizontal="left"/>
    </xf>
    <xf numFmtId="0" fontId="3" fillId="14" borderId="15" xfId="0" applyFont="1" applyFill="1" applyBorder="1" applyAlignment="1">
      <alignment horizontal="left"/>
    </xf>
    <xf numFmtId="0" fontId="3" fillId="0" borderId="15" xfId="0" applyFont="1" applyBorder="1" applyAlignment="1" applyProtection="1">
      <alignment horizontal="left"/>
    </xf>
    <xf numFmtId="0" fontId="3" fillId="0" borderId="15" xfId="0" applyFont="1" applyBorder="1" applyAlignment="1">
      <alignment horizontal="left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B23"/>
  <sheetViews>
    <sheetView workbookViewId="0">
      <pane xSplit="1" ySplit="1" topLeftCell="AH2" activePane="bottomRight" state="frozen"/>
      <selection/>
      <selection pane="topRight"/>
      <selection pane="bottomLeft"/>
      <selection pane="bottomRight" activeCell="I16" sqref="I16"/>
    </sheetView>
  </sheetViews>
  <sheetFormatPr defaultColWidth="10" defaultRowHeight="16.5" customHeight="1"/>
  <cols>
    <col min="1" max="1" width="9" style="28" customWidth="1"/>
    <col min="2" max="6" width="12.5" customWidth="1"/>
  </cols>
  <sheetData>
    <row r="1" s="27" customFormat="1" ht="23.25" customHeight="1" spans="1:54">
      <c r="A1" s="29" t="s">
        <v>0</v>
      </c>
      <c r="B1" s="30" t="s">
        <v>1</v>
      </c>
      <c r="C1" s="30"/>
      <c r="D1" s="30"/>
      <c r="E1" s="30"/>
      <c r="F1" s="30"/>
      <c r="G1" s="30"/>
      <c r="H1" s="30"/>
      <c r="I1" s="30"/>
      <c r="J1" s="30"/>
      <c r="K1" s="30"/>
      <c r="L1" s="31" t="s">
        <v>2</v>
      </c>
      <c r="M1" s="31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3" t="s">
        <v>3</v>
      </c>
      <c r="AG1" s="33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5"/>
      <c r="AZ1" s="36"/>
      <c r="BA1" s="36"/>
      <c r="BB1" s="36"/>
    </row>
    <row r="2" s="2" customFormat="1" ht="22.5" customHeight="1" spans="1:54">
      <c r="A2" s="1" t="s">
        <v>4</v>
      </c>
      <c r="B2" s="1"/>
      <c r="C2" s="1"/>
      <c r="D2" s="1"/>
      <c r="E2" s="1"/>
      <c r="F2" s="1"/>
      <c r="G2" s="1"/>
      <c r="H2" s="1"/>
      <c r="I2" s="1"/>
      <c r="J2" s="1"/>
      <c r="K2" s="1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8"/>
      <c r="AZ2" s="36"/>
      <c r="BA2" s="36"/>
      <c r="BB2" s="36"/>
    </row>
    <row r="3" customHeight="1" spans="1:54">
      <c r="A3" s="39"/>
      <c r="B3" s="40" t="s">
        <v>5</v>
      </c>
      <c r="C3" s="40"/>
      <c r="D3" s="40"/>
      <c r="E3" s="40"/>
      <c r="F3" s="41"/>
      <c r="G3" s="41" t="s">
        <v>6</v>
      </c>
      <c r="H3" s="41"/>
      <c r="I3" s="42"/>
      <c r="J3" s="42"/>
      <c r="K3" s="43"/>
      <c r="L3" s="43" t="s">
        <v>7</v>
      </c>
      <c r="M3" s="43"/>
      <c r="N3" s="40"/>
      <c r="O3" s="40"/>
      <c r="P3" s="40"/>
      <c r="Q3" s="40" t="s">
        <v>8</v>
      </c>
      <c r="R3" s="40"/>
      <c r="S3" s="40"/>
      <c r="T3" s="40"/>
      <c r="U3" s="40"/>
      <c r="V3" s="40" t="s">
        <v>9</v>
      </c>
      <c r="W3" s="40"/>
      <c r="X3" s="40"/>
      <c r="Y3" s="40"/>
      <c r="Z3" s="40"/>
      <c r="AA3" s="40" t="s">
        <v>10</v>
      </c>
      <c r="AB3" s="40"/>
      <c r="AC3" s="40"/>
      <c r="AD3" s="40"/>
      <c r="AE3" s="40"/>
      <c r="AF3" s="40" t="s">
        <v>11</v>
      </c>
      <c r="AG3" s="40"/>
      <c r="AH3" s="40"/>
      <c r="AI3" s="40"/>
      <c r="AJ3" s="40"/>
      <c r="AK3" s="40" t="s">
        <v>12</v>
      </c>
      <c r="AL3" s="40"/>
      <c r="AM3" s="40"/>
      <c r="AN3" s="40"/>
      <c r="AO3" s="40"/>
      <c r="AP3" s="40" t="s">
        <v>13</v>
      </c>
      <c r="AQ3" s="40"/>
      <c r="AR3" s="40"/>
      <c r="AS3" s="40"/>
      <c r="AT3" s="40"/>
      <c r="AU3" s="40" t="s">
        <v>14</v>
      </c>
      <c r="AV3" s="40"/>
      <c r="AW3" s="40"/>
      <c r="AX3" s="40"/>
      <c r="AY3" s="40"/>
    </row>
    <row r="4" s="28" customFormat="1" customHeight="1" spans="1:54">
      <c r="A4" s="44"/>
      <c r="B4" s="45" t="s">
        <v>15</v>
      </c>
      <c r="C4" s="46" t="s">
        <v>16</v>
      </c>
      <c r="D4" s="47" t="s">
        <v>17</v>
      </c>
      <c r="E4" s="48" t="s">
        <v>18</v>
      </c>
      <c r="F4" s="49" t="s">
        <v>19</v>
      </c>
      <c r="G4" s="45" t="s">
        <v>15</v>
      </c>
      <c r="H4" s="46" t="s">
        <v>16</v>
      </c>
      <c r="I4" s="47" t="s">
        <v>17</v>
      </c>
      <c r="J4" s="48" t="s">
        <v>18</v>
      </c>
      <c r="K4" s="49" t="s">
        <v>19</v>
      </c>
      <c r="L4" s="45" t="s">
        <v>15</v>
      </c>
      <c r="M4" s="46" t="s">
        <v>16</v>
      </c>
      <c r="N4" s="47" t="s">
        <v>17</v>
      </c>
      <c r="O4" s="48" t="s">
        <v>18</v>
      </c>
      <c r="P4" s="49" t="s">
        <v>19</v>
      </c>
      <c r="Q4" s="45" t="s">
        <v>15</v>
      </c>
      <c r="R4" s="46" t="s">
        <v>16</v>
      </c>
      <c r="S4" s="47" t="s">
        <v>17</v>
      </c>
      <c r="T4" s="48" t="s">
        <v>18</v>
      </c>
      <c r="U4" s="49" t="s">
        <v>19</v>
      </c>
      <c r="V4" s="45" t="s">
        <v>15</v>
      </c>
      <c r="W4" s="46" t="s">
        <v>16</v>
      </c>
      <c r="X4" s="47" t="s">
        <v>17</v>
      </c>
      <c r="Y4" s="48" t="s">
        <v>18</v>
      </c>
      <c r="Z4" s="49" t="s">
        <v>19</v>
      </c>
      <c r="AA4" s="45" t="s">
        <v>15</v>
      </c>
      <c r="AB4" s="46" t="s">
        <v>16</v>
      </c>
      <c r="AC4" s="47" t="s">
        <v>17</v>
      </c>
      <c r="AD4" s="48" t="s">
        <v>18</v>
      </c>
      <c r="AE4" s="50" t="s">
        <v>19</v>
      </c>
      <c r="AF4" s="51" t="s">
        <v>15</v>
      </c>
      <c r="AG4" s="46" t="s">
        <v>16</v>
      </c>
      <c r="AH4" s="47" t="s">
        <v>17</v>
      </c>
      <c r="AI4" s="48" t="s">
        <v>18</v>
      </c>
      <c r="AJ4" s="50" t="s">
        <v>19</v>
      </c>
      <c r="AK4" s="51" t="s">
        <v>15</v>
      </c>
      <c r="AL4" s="46" t="s">
        <v>16</v>
      </c>
      <c r="AM4" s="47" t="s">
        <v>17</v>
      </c>
      <c r="AN4" s="48" t="s">
        <v>18</v>
      </c>
      <c r="AO4" s="50" t="s">
        <v>19</v>
      </c>
      <c r="AP4" s="51" t="s">
        <v>15</v>
      </c>
      <c r="AQ4" s="46" t="s">
        <v>16</v>
      </c>
      <c r="AR4" s="47" t="s">
        <v>17</v>
      </c>
      <c r="AS4" s="48" t="s">
        <v>18</v>
      </c>
      <c r="AT4" s="50" t="s">
        <v>19</v>
      </c>
      <c r="AU4" s="51" t="s">
        <v>15</v>
      </c>
      <c r="AV4" s="46" t="s">
        <v>16</v>
      </c>
      <c r="AW4" s="47" t="s">
        <v>17</v>
      </c>
      <c r="AX4" s="48" t="s">
        <v>18</v>
      </c>
      <c r="AY4" s="50" t="s">
        <v>19</v>
      </c>
    </row>
    <row r="5" customHeight="1" spans="1:54">
      <c r="A5" s="52" t="s">
        <v>20</v>
      </c>
      <c r="B5" s="53" t="s">
        <v>21</v>
      </c>
      <c r="C5" s="54" t="s">
        <v>21</v>
      </c>
      <c r="D5" s="54" t="s">
        <v>21</v>
      </c>
      <c r="E5" s="54" t="s">
        <v>21</v>
      </c>
      <c r="F5" s="53" t="s">
        <v>21</v>
      </c>
      <c r="G5" s="53" t="s">
        <v>21</v>
      </c>
      <c r="H5" s="54" t="s">
        <v>21</v>
      </c>
      <c r="I5" s="54" t="s">
        <v>21</v>
      </c>
      <c r="J5" s="54" t="s">
        <v>21</v>
      </c>
      <c r="K5" s="53" t="s">
        <v>21</v>
      </c>
      <c r="L5" s="53" t="s">
        <v>21</v>
      </c>
      <c r="M5" s="53" t="s">
        <v>21</v>
      </c>
      <c r="N5" s="53" t="s">
        <v>21</v>
      </c>
      <c r="O5" s="53" t="s">
        <v>21</v>
      </c>
      <c r="P5" s="53" t="s">
        <v>21</v>
      </c>
      <c r="Q5" s="53" t="s">
        <v>21</v>
      </c>
      <c r="R5" s="53" t="s">
        <v>21</v>
      </c>
      <c r="S5" s="53" t="s">
        <v>21</v>
      </c>
      <c r="T5" s="53" t="s">
        <v>21</v>
      </c>
      <c r="U5" s="53" t="s">
        <v>21</v>
      </c>
      <c r="V5" s="55">
        <v>0.98</v>
      </c>
      <c r="W5" s="56">
        <v>1.2</v>
      </c>
      <c r="X5" s="56">
        <f>V5*0.7+W5*0.3</f>
        <v>1.046</v>
      </c>
      <c r="Y5" s="56">
        <v>1.046</v>
      </c>
      <c r="Z5" s="55">
        <v>1</v>
      </c>
      <c r="AA5" s="56">
        <v>1.01</v>
      </c>
      <c r="AB5" s="56">
        <v>1.2</v>
      </c>
      <c r="AC5" s="56">
        <f>AA5*0.7+AB5*0.3</f>
        <v>1.067</v>
      </c>
      <c r="AD5" s="56">
        <v>1.113</v>
      </c>
      <c r="AE5" s="55">
        <v>1</v>
      </c>
      <c r="AF5" s="56">
        <v>0.94</v>
      </c>
      <c r="AG5" s="56">
        <v>1</v>
      </c>
      <c r="AH5" s="56">
        <f>ROUND(AF5*0.7+AG5*0.3,3)</f>
        <v>0.958</v>
      </c>
      <c r="AI5" s="56">
        <v>1.06</v>
      </c>
      <c r="AJ5" s="55">
        <v>1</v>
      </c>
      <c r="AK5" s="56">
        <v>0.95</v>
      </c>
      <c r="AL5" s="56">
        <v>1</v>
      </c>
      <c r="AM5" s="56">
        <f>ROUND(AK5*0.7+AL5*0.3,3)</f>
        <v>0.965</v>
      </c>
      <c r="AN5" s="56">
        <v>0.999</v>
      </c>
      <c r="AO5" s="55">
        <v>1</v>
      </c>
      <c r="AP5" s="56">
        <v>1.05</v>
      </c>
      <c r="AQ5" s="56">
        <v>1</v>
      </c>
      <c r="AR5" s="56">
        <f>ROUND(AP5*0.7+AQ5*0.3,3)</f>
        <v>1.035</v>
      </c>
      <c r="AS5" s="56">
        <v>1.035</v>
      </c>
      <c r="AT5" s="55">
        <v>1</v>
      </c>
      <c r="AU5" s="56">
        <v>1.13</v>
      </c>
      <c r="AV5" s="56">
        <v>1.2</v>
      </c>
      <c r="AW5" s="56">
        <f>ROUND(AU5*0.7+AV5*0.3,3)</f>
        <v>1.151</v>
      </c>
      <c r="AX5" s="56">
        <v>1.186</v>
      </c>
      <c r="AY5" s="55">
        <v>1</v>
      </c>
    </row>
    <row r="6" customHeight="1" spans="1:54">
      <c r="A6" s="52" t="s">
        <v>22</v>
      </c>
      <c r="B6" s="55">
        <v>0.8</v>
      </c>
      <c r="C6" s="56">
        <v>1</v>
      </c>
      <c r="D6" s="54" t="s">
        <v>21</v>
      </c>
      <c r="E6" s="54" t="s">
        <v>21</v>
      </c>
      <c r="F6" s="56">
        <v>1</v>
      </c>
      <c r="G6" s="55">
        <v>0.93</v>
      </c>
      <c r="H6" s="56">
        <v>1</v>
      </c>
      <c r="I6" s="56">
        <f>G6*0.7+H6*0.3</f>
        <v>0.951</v>
      </c>
      <c r="J6" s="54" t="s">
        <v>21</v>
      </c>
      <c r="K6" s="55">
        <v>0.8</v>
      </c>
      <c r="L6" s="56">
        <v>0.87</v>
      </c>
      <c r="M6" s="56">
        <v>1</v>
      </c>
      <c r="N6" s="56">
        <f>L6*0.7+M6*0.3</f>
        <v>0.909</v>
      </c>
      <c r="O6" s="56">
        <v>1.06</v>
      </c>
      <c r="P6" s="56">
        <v>1</v>
      </c>
      <c r="Q6" s="55">
        <v>0.96</v>
      </c>
      <c r="R6" s="56">
        <v>1.2</v>
      </c>
      <c r="S6" s="56">
        <f>Q6*0.7+R6*0.3</f>
        <v>1.032</v>
      </c>
      <c r="T6" s="56">
        <v>1.054</v>
      </c>
      <c r="U6" s="56">
        <v>1</v>
      </c>
      <c r="V6" s="55">
        <v>1.01</v>
      </c>
      <c r="W6" s="56">
        <v>1.2</v>
      </c>
      <c r="X6" s="56">
        <f>V6*0.7+W6*0.3</f>
        <v>1.067</v>
      </c>
      <c r="Y6" s="56">
        <v>1.067</v>
      </c>
      <c r="Z6" s="55">
        <v>1</v>
      </c>
      <c r="AA6" s="56">
        <v>1.15</v>
      </c>
      <c r="AB6" s="56">
        <v>1</v>
      </c>
      <c r="AC6" s="56">
        <f>AA6*0.7+AB6*0.3</f>
        <v>1.105</v>
      </c>
      <c r="AD6" s="56">
        <v>1.172</v>
      </c>
      <c r="AE6" s="55">
        <v>1</v>
      </c>
      <c r="AF6" s="56">
        <v>0.87</v>
      </c>
      <c r="AG6" s="56">
        <v>1</v>
      </c>
      <c r="AH6" s="56">
        <f>ROUND(AF6*0.7+AG6*0.3,3)</f>
        <v>0.909</v>
      </c>
      <c r="AI6" s="56">
        <v>1.064</v>
      </c>
      <c r="AJ6" s="55">
        <v>1</v>
      </c>
      <c r="AK6" s="56">
        <v>0.82</v>
      </c>
      <c r="AL6" s="56">
        <v>1</v>
      </c>
      <c r="AM6" s="56">
        <f>ROUND(AK6*0.7+AL6*0.3,3)</f>
        <v>0.874</v>
      </c>
      <c r="AN6" s="56">
        <v>0.899</v>
      </c>
      <c r="AO6" s="55">
        <v>0.8</v>
      </c>
      <c r="AP6" s="56">
        <v>0.92</v>
      </c>
      <c r="AQ6" s="56">
        <v>1</v>
      </c>
      <c r="AR6" s="56">
        <f>ROUND(AP6*0.7+AQ6*0.3,3)</f>
        <v>0.944</v>
      </c>
      <c r="AS6" s="56">
        <v>1.037</v>
      </c>
      <c r="AT6" s="55">
        <v>1</v>
      </c>
      <c r="AU6" s="56">
        <v>0.97</v>
      </c>
      <c r="AV6" s="56">
        <v>1</v>
      </c>
      <c r="AW6" s="56">
        <f>ROUND(AU6*0.7+AV6*0.3,3)</f>
        <v>0.979</v>
      </c>
      <c r="AX6" s="56">
        <v>0.993</v>
      </c>
      <c r="AY6" s="55">
        <v>0.8</v>
      </c>
    </row>
    <row r="7" customHeight="1" spans="1:54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</row>
    <row r="8" customHeight="1" spans="1:54">
      <c r="A8"/>
    </row>
    <row r="9" ht="22.5" customHeight="1" spans="1:54">
      <c r="A9"/>
    </row>
    <row r="10" customHeight="1" spans="1:54">
      <c r="A10"/>
    </row>
    <row r="11" s="28" customFormat="1" customHeight="1" spans="1:54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</row>
    <row r="12" customHeight="1" spans="1:54">
      <c r="A12"/>
    </row>
    <row r="13" customHeight="1" spans="1:54">
      <c r="A13"/>
    </row>
    <row r="14" customHeight="1" spans="1:54">
      <c r="A14"/>
    </row>
    <row r="15" customHeight="1" spans="1:54">
      <c r="A15"/>
    </row>
    <row r="16" customHeight="1" spans="1:54">
      <c r="A16"/>
    </row>
    <row r="17" customHeight="1" spans="1:1">
      <c r="A17"/>
    </row>
    <row r="18" customHeight="1" spans="1:1">
      <c r="A18"/>
    </row>
    <row r="19" customHeight="1" spans="1:1">
      <c r="A19"/>
    </row>
    <row r="20" customHeight="1" spans="1:1">
      <c r="A20"/>
    </row>
    <row r="21" customHeight="1" spans="1:1">
      <c r="A21"/>
    </row>
    <row r="22" customHeight="1" spans="1:1">
      <c r="A22"/>
    </row>
    <row r="23" customHeight="1" spans="1:1">
      <c r="A23"/>
    </row>
  </sheetData>
  <mergeCells count="15">
    <mergeCell ref="B1:K1"/>
    <mergeCell ref="L1:AE1"/>
    <mergeCell ref="AF1:AY1"/>
    <mergeCell ref="A2:AY2"/>
    <mergeCell ref="B3:F3"/>
    <mergeCell ref="G3:K3"/>
    <mergeCell ref="L3:P3"/>
    <mergeCell ref="Q3:U3"/>
    <mergeCell ref="V3:Z3"/>
    <mergeCell ref="AA3:AE3"/>
    <mergeCell ref="AF3:AJ3"/>
    <mergeCell ref="AK3:AO3"/>
    <mergeCell ref="AP3:AT3"/>
    <mergeCell ref="AU3:AY3"/>
    <mergeCell ref="A3:A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K19"/>
  <sheetViews>
    <sheetView tabSelected="1" workbookViewId="0">
      <pane xSplit="1" ySplit="2" topLeftCell="Q3" activePane="bottomRight" state="frozen"/>
      <selection/>
      <selection pane="topRight"/>
      <selection pane="bottomLeft"/>
      <selection pane="bottomRight" activeCell="P29" sqref="P29"/>
    </sheetView>
  </sheetViews>
  <sheetFormatPr defaultColWidth="10" defaultRowHeight="16.5" customHeight="1"/>
  <sheetData>
    <row r="1" ht="23.25" customHeight="1" spans="1:37">
      <c r="A1" s="1" t="s">
        <v>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3"/>
    </row>
    <row r="2" ht="23.25" customHeight="1" spans="1:37">
      <c r="A2" s="4" t="s">
        <v>0</v>
      </c>
      <c r="B2" s="5" t="s">
        <v>1</v>
      </c>
      <c r="C2" s="6"/>
      <c r="D2" s="6"/>
      <c r="E2" s="7"/>
      <c r="F2" s="8" t="s">
        <v>2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0"/>
      <c r="V2" s="11" t="s">
        <v>3</v>
      </c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3"/>
    </row>
    <row r="3" customHeight="1" spans="1:37">
      <c r="A3" s="14" t="s">
        <v>24</v>
      </c>
      <c r="B3" s="15" t="s">
        <v>6</v>
      </c>
      <c r="C3" s="16"/>
      <c r="D3" s="16"/>
      <c r="E3" s="16"/>
      <c r="F3" s="17" t="s">
        <v>7</v>
      </c>
      <c r="G3" s="17"/>
      <c r="H3" s="17"/>
      <c r="I3" s="17"/>
      <c r="J3" s="17" t="s">
        <v>8</v>
      </c>
      <c r="K3" s="17"/>
      <c r="L3" s="17"/>
      <c r="M3" s="17"/>
      <c r="N3" s="17" t="s">
        <v>9</v>
      </c>
      <c r="O3" s="17"/>
      <c r="P3" s="17"/>
      <c r="Q3" s="17"/>
      <c r="R3" s="17" t="s">
        <v>10</v>
      </c>
      <c r="S3" s="17"/>
      <c r="T3" s="17"/>
      <c r="U3" s="17"/>
      <c r="V3" s="17" t="s">
        <v>11</v>
      </c>
      <c r="W3" s="17"/>
      <c r="X3" s="17"/>
      <c r="Y3" s="17"/>
      <c r="Z3" s="17" t="s">
        <v>12</v>
      </c>
      <c r="AA3" s="17"/>
      <c r="AB3" s="17"/>
      <c r="AC3" s="17"/>
      <c r="AD3" s="17" t="s">
        <v>13</v>
      </c>
      <c r="AE3" s="17"/>
      <c r="AF3" s="17"/>
      <c r="AG3" s="17"/>
      <c r="AH3" s="17" t="s">
        <v>14</v>
      </c>
      <c r="AI3" s="17"/>
      <c r="AJ3" s="17"/>
      <c r="AK3" s="17"/>
    </row>
    <row r="4" customHeight="1" spans="1:37">
      <c r="A4" s="14"/>
      <c r="B4" s="18" t="s">
        <v>17</v>
      </c>
      <c r="C4" s="19">
        <v>0</v>
      </c>
      <c r="D4" s="19"/>
      <c r="E4" s="19"/>
      <c r="F4" s="18" t="s">
        <v>17</v>
      </c>
      <c r="G4" s="19">
        <v>0</v>
      </c>
      <c r="H4" s="19"/>
      <c r="I4" s="19"/>
      <c r="J4" s="18" t="s">
        <v>17</v>
      </c>
      <c r="K4" s="19">
        <v>0</v>
      </c>
      <c r="L4" s="19"/>
      <c r="M4" s="19"/>
      <c r="N4" s="18" t="s">
        <v>17</v>
      </c>
      <c r="O4" s="19">
        <v>1.046</v>
      </c>
      <c r="P4" s="19"/>
      <c r="Q4" s="19"/>
      <c r="R4" s="18" t="s">
        <v>17</v>
      </c>
      <c r="S4" s="19">
        <v>1.067</v>
      </c>
      <c r="T4" s="19"/>
      <c r="U4" s="19"/>
      <c r="V4" s="18" t="s">
        <v>17</v>
      </c>
      <c r="W4" s="19">
        <v>0.958</v>
      </c>
      <c r="X4" s="19"/>
      <c r="Y4" s="19"/>
      <c r="Z4" s="18" t="s">
        <v>17</v>
      </c>
      <c r="AA4" s="19">
        <v>0.965</v>
      </c>
      <c r="AB4" s="19"/>
      <c r="AC4" s="19"/>
      <c r="AD4" s="18" t="s">
        <v>17</v>
      </c>
      <c r="AE4" s="19">
        <v>1.035</v>
      </c>
      <c r="AF4" s="19"/>
      <c r="AG4" s="19"/>
      <c r="AH4" s="18" t="s">
        <v>17</v>
      </c>
      <c r="AI4" s="19">
        <v>1.151</v>
      </c>
      <c r="AJ4" s="19"/>
      <c r="AK4" s="19"/>
    </row>
    <row r="5" customHeight="1" spans="1:37">
      <c r="A5" s="14"/>
      <c r="B5" s="20" t="s">
        <v>18</v>
      </c>
      <c r="C5" s="21">
        <f>C4</f>
        <v>0</v>
      </c>
      <c r="D5" s="2"/>
      <c r="E5" s="3"/>
      <c r="F5" s="20" t="s">
        <v>18</v>
      </c>
      <c r="G5" s="21">
        <f>G4+C9</f>
        <v>0</v>
      </c>
      <c r="H5" s="2"/>
      <c r="I5" s="3"/>
      <c r="J5" s="20" t="s">
        <v>18</v>
      </c>
      <c r="K5" s="21">
        <f>K4+G9</f>
        <v>0</v>
      </c>
      <c r="L5" s="2"/>
      <c r="M5" s="3"/>
      <c r="N5" s="20" t="s">
        <v>18</v>
      </c>
      <c r="O5" s="21">
        <f>O4+K9</f>
        <v>1.046</v>
      </c>
      <c r="P5" s="2"/>
      <c r="Q5" s="3"/>
      <c r="R5" s="20" t="s">
        <v>18</v>
      </c>
      <c r="S5" s="21"/>
      <c r="T5" s="2"/>
      <c r="U5" s="3"/>
      <c r="V5" s="20" t="s">
        <v>18</v>
      </c>
      <c r="W5" s="21">
        <f>W4+S9</f>
        <v>1.06</v>
      </c>
      <c r="X5" s="2"/>
      <c r="Y5" s="3"/>
      <c r="Z5" s="20" t="s">
        <v>18</v>
      </c>
      <c r="AA5" s="21">
        <f>AA4+W9</f>
        <v>0.999</v>
      </c>
      <c r="AB5" s="2"/>
      <c r="AC5" s="3"/>
      <c r="AD5" s="20" t="s">
        <v>18</v>
      </c>
      <c r="AE5" s="21">
        <f>AE4+AA9</f>
        <v>1.035</v>
      </c>
      <c r="AF5" s="2"/>
      <c r="AG5" s="3"/>
      <c r="AH5" s="20" t="s">
        <v>18</v>
      </c>
      <c r="AI5" s="21">
        <f>AI4+AE9</f>
        <v>1.186</v>
      </c>
      <c r="AJ5" s="2"/>
      <c r="AK5" s="3"/>
    </row>
    <row r="6" customHeight="1" spans="1:37">
      <c r="A6" s="14"/>
      <c r="B6" s="22" t="s">
        <v>19</v>
      </c>
      <c r="C6" s="19">
        <f>E8</f>
        <v>0</v>
      </c>
      <c r="D6" s="19"/>
      <c r="E6" s="19"/>
      <c r="F6" s="22" t="s">
        <v>19</v>
      </c>
      <c r="G6" s="19">
        <f>IF(C9+G7&gt;=0,I7,I8)</f>
        <v>0</v>
      </c>
      <c r="H6" s="19"/>
      <c r="I6" s="19"/>
      <c r="J6" s="22" t="s">
        <v>19</v>
      </c>
      <c r="K6" s="19">
        <f>IF(G9+K7&gt;=0,M7,M8)</f>
        <v>0</v>
      </c>
      <c r="L6" s="19"/>
      <c r="M6" s="19"/>
      <c r="N6" s="22" t="s">
        <v>19</v>
      </c>
      <c r="O6" s="19">
        <f>IF(K9+O7&gt;=0,Q7,Q8)</f>
        <v>1</v>
      </c>
      <c r="P6" s="19"/>
      <c r="Q6" s="19"/>
      <c r="R6" s="22" t="s">
        <v>19</v>
      </c>
      <c r="S6" s="19">
        <f>IF(O9+S7&gt;=0,U7,U8)</f>
        <v>1</v>
      </c>
      <c r="T6" s="19"/>
      <c r="U6" s="19"/>
      <c r="V6" s="22" t="s">
        <v>19</v>
      </c>
      <c r="W6" s="19">
        <f>IF(S9+W7&gt;=0,Y7,Y8)</f>
        <v>1</v>
      </c>
      <c r="X6" s="19"/>
      <c r="Y6" s="19"/>
      <c r="Z6" s="22" t="s">
        <v>19</v>
      </c>
      <c r="AA6" s="19">
        <v>1</v>
      </c>
      <c r="AB6" s="19"/>
      <c r="AC6" s="19"/>
      <c r="AD6" s="22" t="s">
        <v>19</v>
      </c>
      <c r="AE6" s="19">
        <f>IF(AA9+AE7&gt;=0,AG7,AG8)</f>
        <v>1</v>
      </c>
      <c r="AF6" s="19"/>
      <c r="AG6" s="19"/>
      <c r="AH6" s="22" t="s">
        <v>19</v>
      </c>
      <c r="AI6" s="19">
        <f>IF(AE9+AI7&gt;=0,AK7,AK8)</f>
        <v>1</v>
      </c>
      <c r="AJ6" s="19"/>
      <c r="AK6" s="19"/>
    </row>
    <row r="7" customHeight="1" spans="1:37">
      <c r="A7" s="14"/>
      <c r="B7" s="23" t="s">
        <v>25</v>
      </c>
      <c r="C7" s="24">
        <f>IF(AND(C4&gt;=0,C4&lt;0.8),C4-0.8,IF(AND(C4&gt;=0.8,C4&lt;1),C4-1,IF(AND(C4&gt;=1,C4&lt;1.2),C4-1.2,IF(AND(C4&gt;=1.2,C4&lt;1.5),C4-1.5,IF(AND(C4&gt;=1.5,C4&lt;2),C4-2,"不在任何区间内")))))</f>
        <v>-0.8</v>
      </c>
      <c r="D7" s="24" t="s">
        <v>26</v>
      </c>
      <c r="E7" s="24">
        <f>IF(AND(C4&gt;=0,C4&lt;0.8),0.8,IF(AND(C4&gt;=0.8,C4&lt;1),1,IF(AND(C4&gt;=1,C4&lt;1.2),1.2,IF(AND(C4&gt;=1.2,C4&lt;1.5),1.5,IF(AND(C4&gt;=1.5,C4&lt;2),2,"不在任何区间内")))))</f>
        <v>0.8</v>
      </c>
      <c r="F7" s="23" t="s">
        <v>25</v>
      </c>
      <c r="G7" s="24">
        <f>IF(AND(G4&gt;=0,G4&lt;0.8),G4-0.8,IF(AND(G4&gt;=0.8,G4&lt;1),G4-1,IF(AND(G4&gt;=1,G4&lt;1.2),G4-1.2,IF(AND(G4&gt;=1.2,G4&lt;1.5),G4-1.5,IF(AND(G4&gt;=1.5,G4&lt;2),G4-2,"不在任何区间内")))))</f>
        <v>-0.8</v>
      </c>
      <c r="H7" s="24" t="s">
        <v>26</v>
      </c>
      <c r="I7" s="24">
        <f>IF(AND(G4&gt;=0,G4&lt;0.8),0.8,IF(AND(G4&gt;=0.8,G4&lt;1),1,IF(AND(G4&gt;=1,G4&lt;1.2),1.2,IF(AND(G4&gt;=1.2,G4&lt;1.5),1.5,IF(AND(G4&gt;=1.5,G4&lt;2),2,"不在任何区间内")))))</f>
        <v>0.8</v>
      </c>
      <c r="J7" s="23" t="s">
        <v>25</v>
      </c>
      <c r="K7" s="24">
        <f>IF(AND(K4&gt;=0,K4&lt;0.8),K4-0.8,IF(AND(K4&gt;=0.8,K4&lt;1),K4-1,IF(AND(K4&gt;=1,K4&lt;1.2),K4-1.2,IF(AND(K4&gt;=1.2,K4&lt;1.5),K4-1.5,IF(AND(K4&gt;=1.5,K4&lt;2),K4-2,"不在任何区间内")))))</f>
        <v>-0.8</v>
      </c>
      <c r="L7" s="24" t="s">
        <v>26</v>
      </c>
      <c r="M7" s="24">
        <f>IF(AND(K4&gt;=0,K4&lt;0.8),0.8,IF(AND(K4&gt;=0.8,K4&lt;1),1,IF(AND(K4&gt;=1,K4&lt;1.2),1.2,IF(AND(K4&gt;=1.2,K4&lt;1.5),1.5,IF(AND(K4&gt;=1.5,K4&lt;2),2,"不在任何区间内")))))</f>
        <v>0.8</v>
      </c>
      <c r="N7" s="23" t="s">
        <v>25</v>
      </c>
      <c r="O7" s="24">
        <f>IF(AND(O4&gt;=0,O4&lt;0.8),O4-0.8,IF(AND(O4&gt;=0.8,O4&lt;1),O4-1,IF(AND(O4&gt;=1,O4&lt;1.2),O4-1.2,IF(AND(O4&gt;=1.2,O4&lt;1.5),O4-1.5,IF(AND(O4&gt;=1.5,O4&lt;2),O4-2,"不在任何区间内")))))</f>
        <v>-0.154</v>
      </c>
      <c r="P7" s="24" t="s">
        <v>26</v>
      </c>
      <c r="Q7" s="24">
        <f>IF(AND(O4&gt;=0,O4&lt;0.8),0.8,IF(AND(O4&gt;=0.8,O4&lt;1),1,IF(AND(O4&gt;=1,O4&lt;1.2),1.2,IF(AND(O4&gt;=1.2,O4&lt;1.5),1.5,IF(AND(O4&gt;=1.5,O4&lt;2),2,"不在任何区间内")))))</f>
        <v>1.2</v>
      </c>
      <c r="R7" s="23" t="s">
        <v>25</v>
      </c>
      <c r="S7" s="24">
        <f>IF(AND(S4&gt;=0,S4&lt;0.8),S4-0.8,IF(AND(S4&gt;=0.8,S4&lt;1),S4-1,IF(AND(S4&gt;=1,S4&lt;1.2),S4-1.2,IF(AND(S4&gt;=1.2,S4&lt;1.5),S4-1.5,IF(AND(S4&gt;=1.5,S4&lt;2),S4-2,"不在任何区间内")))))</f>
        <v>-0.133</v>
      </c>
      <c r="T7" s="24" t="s">
        <v>26</v>
      </c>
      <c r="U7" s="24">
        <f>IF(AND(S4&gt;=0,S4&lt;0.8),0.8,IF(AND(S4&gt;=0.8,S4&lt;1),1,IF(AND(S4&gt;=1,S4&lt;1.2),1.2,IF(AND(S4&gt;=1.2,S4&lt;1.5),1.5,IF(AND(S4&gt;=1.5,S4&lt;2),2,"不在任何区间内")))))</f>
        <v>1.2</v>
      </c>
      <c r="V7" s="23" t="s">
        <v>25</v>
      </c>
      <c r="W7" s="24">
        <f>IF(AND(W4&gt;=0,W4&lt;0.8),W4-0.8,IF(AND(W4&gt;=0.8,W4&lt;1),W4-1,IF(AND(W4&gt;=1,W4&lt;1.2),W4-1.2,IF(AND(W4&gt;=1.2,W4&lt;1.5),W4-1.5,IF(AND(W4&gt;=1.5,W4&lt;2),W4-2,"不在任何区间内")))))</f>
        <v>-0.042</v>
      </c>
      <c r="X7" s="24" t="s">
        <v>26</v>
      </c>
      <c r="Y7" s="24">
        <f>IF(AND(W4&gt;=0,W4&lt;0.8),0.8,IF(AND(W4&gt;=0.8,W4&lt;1),1,IF(AND(W4&gt;=1,W4&lt;1.2),1.2,IF(AND(W4&gt;=1.2,W4&lt;1.5),1.5,IF(AND(W4&gt;=1.5,W4&lt;2),2,"不在任何区间内")))))</f>
        <v>1</v>
      </c>
      <c r="Z7" s="23" t="s">
        <v>25</v>
      </c>
      <c r="AA7" s="24">
        <f>IF(AND(AA4&gt;=0,AA4&lt;0.8),AA4-0.8,IF(AND(AA4&gt;=0.8,AA4&lt;1),AA4-1,IF(AND(AA4&gt;=1,AA4&lt;1.2),AA4-1.2,IF(AND(AA4&gt;=1.2,AA4&lt;1.5),AA4-1.5,IF(AND(AA4&gt;=1.5,AA4&lt;2),AA4-2,"不在任何区间内")))))</f>
        <v>-0.035</v>
      </c>
      <c r="AB7" s="24" t="s">
        <v>26</v>
      </c>
      <c r="AC7" s="24">
        <f>IF(AND(AA4&gt;=0,AA4&lt;0.8),0.8,IF(AND(AA4&gt;=0.8,AA4&lt;1),1,IF(AND(AA4&gt;=1,AA4&lt;1.2),1.2,IF(AND(AA4&gt;=1.2,AA4&lt;1.5),1.5,IF(AND(AA4&gt;=1.5,AA4&lt;2),2,"不在任何区间内")))))</f>
        <v>1</v>
      </c>
      <c r="AD7" s="23" t="s">
        <v>25</v>
      </c>
      <c r="AE7" s="24">
        <f>IF(AND(AE4&gt;=0,AE4&lt;0.8),AE4-0.8,IF(AND(AE4&gt;=0.8,AE4&lt;1),AE4-1,IF(AND(AE4&gt;=1,AE4&lt;1.2),AE4-1.2,IF(AND(AE4&gt;=1.2,AE4&lt;1.5),AE4-1.5,IF(AND(AE4&gt;=1.5,AE4&lt;2),AE4-2,"不在任何区间内")))))</f>
        <v>-0.165</v>
      </c>
      <c r="AF7" s="24" t="s">
        <v>26</v>
      </c>
      <c r="AG7" s="24">
        <f>IF(AND(AE4&gt;=0,AE4&lt;0.8),0.8,IF(AND(AE4&gt;=0.8,AE4&lt;1),1,IF(AND(AE4&gt;=1,AE4&lt;1.2),1.2,IF(AND(AE4&gt;=1.2,AE4&lt;1.5),1.5,IF(AND(AE4&gt;=1.5,AE4&lt;2),2,"不在任何区间内")))))</f>
        <v>1.2</v>
      </c>
      <c r="AH7" s="23" t="s">
        <v>25</v>
      </c>
      <c r="AI7" s="24">
        <f>IF(AND(AI4&gt;=0,AI4&lt;0.8),AI4-0.8,IF(AND(AI4&gt;=0.8,AI4&lt;1),AI4-1,IF(AND(AI4&gt;=1,AI4&lt;1.2),AI4-1.2,IF(AND(AI4&gt;=1.2,AI4&lt;1.5),AI4-1.5,IF(AND(AI4&gt;=1.5,AI4&lt;2),AI4-2,"不在任何区间内")))))</f>
        <v>-0.0489999999999999</v>
      </c>
      <c r="AJ7" s="24" t="s">
        <v>26</v>
      </c>
      <c r="AK7" s="24">
        <f>IF(AND(AI4&gt;=0,AI4&lt;0.8),0.8,IF(AND(AI4&gt;=0.8,AI4&lt;1),1,IF(AND(AI4&gt;=1,AI4&lt;1.2),1.2,IF(AND(AI4&gt;=1.2,AI4&lt;1.5),1.5,IF(AND(AI4&gt;=1.5,AI4&lt;2),2,"不在任何区间内")))))</f>
        <v>1.2</v>
      </c>
    </row>
    <row r="8" customHeight="1" spans="1:37">
      <c r="A8" s="14"/>
      <c r="B8" s="25" t="s">
        <v>27</v>
      </c>
      <c r="C8" s="19">
        <f>IF(AND(C4&gt;=0,C4&lt;0.8),0,IF(AND(C4&gt;=0.8,C4&lt;1),C4-0.8,IF(AND(C4&gt;=1,C4&lt;1.2),C4-1,IF(AND(C4&gt;=1.2,C4&lt;1.5),C4-1.2,IF(AND(C4&gt;=1.5,C4&lt;2),C4-1.5,"不在任何区间内")))))</f>
        <v>0</v>
      </c>
      <c r="D8" s="19" t="s">
        <v>28</v>
      </c>
      <c r="E8" s="19">
        <f>IF(AND(C4&gt;=0,C4&lt;0.8),0,IF(AND(C4&gt;=0.8,C4&lt;1),0.8,IF(AND(C4&gt;=1,C4&lt;1.2),1,IF(AND(C4&gt;=1.2,C4&lt;1.5),1.2,IF(AND(C4&gt;=1.5,C4&lt;2),1.5,"不在任何区间内")))))</f>
        <v>0</v>
      </c>
      <c r="F8" s="25" t="s">
        <v>27</v>
      </c>
      <c r="G8" s="19">
        <f>IF(AND(G4&gt;=0,G4&lt;0.8),0,IF(AND(G4&gt;=0.8,G4&lt;1),G4-0.8,IF(AND(G4&gt;=1,G4&lt;1.2),G4-1,IF(AND(G4&gt;=1.2,G4&lt;1.5),G4-1.2,IF(AND(G4&gt;=1.5,G4&lt;2),G4-1.5,"不在任何区间内")))))</f>
        <v>0</v>
      </c>
      <c r="H8" s="19" t="s">
        <v>28</v>
      </c>
      <c r="I8" s="19">
        <f>IF(AND(G4&gt;=0,G4&lt;0.8),0,IF(AND(G4&gt;=0.8,G4&lt;1),0.8,IF(AND(G4&gt;=1,G4&lt;1.2),1,IF(AND(G4&gt;=1.2,G4&lt;1.5),1.2,IF(AND(G4&gt;=1.5,G4&lt;2),1.5,"不在任何区间内")))))</f>
        <v>0</v>
      </c>
      <c r="J8" s="25" t="s">
        <v>27</v>
      </c>
      <c r="K8" s="19">
        <f>IF(AND(K4&gt;=0,K4&lt;0.8),0,IF(AND(K4&gt;=0.8,K4&lt;1),K4-0.8,IF(AND(K4&gt;=1,K4&lt;1.2),K4-1,IF(AND(K4&gt;=1.2,K4&lt;1.5),K4-1.2,IF(AND(K4&gt;=1.5,K4&lt;2),K4-1.5,"不在任何区间内")))))</f>
        <v>0</v>
      </c>
      <c r="L8" s="19" t="s">
        <v>28</v>
      </c>
      <c r="M8" s="19">
        <f>IF(AND(K4&gt;=0,K4&lt;0.8),0,IF(AND(K4&gt;=0.8,K4&lt;1),0.8,IF(AND(K4&gt;=1,K4&lt;1.2),1,IF(AND(K4&gt;=1.2,K4&lt;1.5),1.2,IF(AND(K4&gt;=1.5,K4&lt;2),1.5,"不在任何区间内")))))</f>
        <v>0</v>
      </c>
      <c r="N8" s="25" t="s">
        <v>27</v>
      </c>
      <c r="O8" s="19">
        <f>IF(AND(O4&gt;=0,O4&lt;0.8),0,IF(AND(O4&gt;=0.8,O4&lt;1),O4-0.8,IF(AND(O4&gt;=1,O4&lt;1.2),O4-1,IF(AND(O4&gt;=1.2,O4&lt;1.5),O4-1.2,IF(AND(O4&gt;=1.5,O4&lt;2),O4-1.5,"不在任何区间内")))))</f>
        <v>0.046</v>
      </c>
      <c r="P8" s="19" t="s">
        <v>28</v>
      </c>
      <c r="Q8" s="19">
        <f>IF(AND(O4&gt;=0,O4&lt;0.8),0,IF(AND(O4&gt;=0.8,O4&lt;1),0.8,IF(AND(O4&gt;=1,O4&lt;1.2),1,IF(AND(O4&gt;=1.2,O4&lt;1.5),1.2,IF(AND(O4&gt;=1.5,O4&lt;2),1.5,"不在任何区间内")))))</f>
        <v>1</v>
      </c>
      <c r="R8" s="25" t="s">
        <v>27</v>
      </c>
      <c r="S8" s="19">
        <f>IF(AND(S4&gt;=0,S4&lt;0.8),0,IF(AND(S4&gt;=0.8,S4&lt;1),S4-0.8,IF(AND(S4&gt;=1,S4&lt;1.2),S4-1,IF(AND(S4&gt;=1.2,S4&lt;1.5),S4-1.2,IF(AND(S4&gt;=1.5,S4&lt;2),S4-1.5,"不在任何区间内")))))</f>
        <v>0.0669999999999999</v>
      </c>
      <c r="T8" s="19" t="s">
        <v>28</v>
      </c>
      <c r="U8" s="19">
        <f>IF(AND(S4&gt;=0,S4&lt;0.8),0,IF(AND(S4&gt;=0.8,S4&lt;1),0.8,IF(AND(S4&gt;=1,S4&lt;1.2),1,IF(AND(S4&gt;=1.2,S4&lt;1.5),1.2,IF(AND(S4&gt;=1.5,S4&lt;2),1.5,"不在任何区间内")))))</f>
        <v>1</v>
      </c>
      <c r="V8" s="25" t="s">
        <v>27</v>
      </c>
      <c r="W8" s="19">
        <f>IF(AND(W4&gt;=0,W4&lt;0.8),0,IF(AND(W4&gt;=0.8,W4&lt;1),W4-0.8,IF(AND(W4&gt;=1,W4&lt;1.2),W4-1,IF(AND(W4&gt;=1.2,W4&lt;1.5),W4-1.2,IF(AND(W4&gt;=1.5,W4&lt;2),W4-1.5,"不在任何区间内")))))</f>
        <v>0.158</v>
      </c>
      <c r="X8" s="19" t="s">
        <v>28</v>
      </c>
      <c r="Y8" s="19">
        <f>IF(AND(W4&gt;=0,W4&lt;0.8),0,IF(AND(W4&gt;=0.8,W4&lt;1),0.8,IF(AND(W4&gt;=1,W4&lt;1.2),1,IF(AND(W4&gt;=1.2,W4&lt;1.5),1.2,IF(AND(W4&gt;=1.5,W4&lt;2),1.5,"不在任何区间内")))))</f>
        <v>0.8</v>
      </c>
      <c r="Z8" s="25" t="s">
        <v>27</v>
      </c>
      <c r="AA8" s="19">
        <f>IF(AND(AA4&gt;=0,AA4&lt;0.8),0,IF(AND(AA4&gt;=0.8,AA4&lt;1),AA4-0.8,IF(AND(AA4&gt;=1,AA4&lt;1.2),AA4-1,IF(AND(AA4&gt;=1.2,AA4&lt;1.5),AA4-1.2,IF(AND(AA4&gt;=1.5,AA4&lt;2),AA4-1.5,"不在任何区间内")))))</f>
        <v>0.165</v>
      </c>
      <c r="AB8" s="19" t="s">
        <v>28</v>
      </c>
      <c r="AC8" s="19">
        <f>IF(AND(AA4&gt;=0,AA4&lt;0.8),0,IF(AND(AA4&gt;=0.8,AA4&lt;1),0.8,IF(AND(AA4&gt;=1,AA4&lt;1.2),1,IF(AND(AA4&gt;=1.2,AA4&lt;1.5),1.2,IF(AND(AA4&gt;=1.5,AA4&lt;2),1.5,"不在任何区间内")))))</f>
        <v>0.8</v>
      </c>
      <c r="AD8" s="25" t="s">
        <v>27</v>
      </c>
      <c r="AE8" s="19">
        <f>IF(AND(AE4&gt;=0,AE4&lt;0.8),0,IF(AND(AE4&gt;=0.8,AE4&lt;1),AE4-0.8,IF(AND(AE4&gt;=1,AE4&lt;1.2),AE4-1,IF(AND(AE4&gt;=1.2,AE4&lt;1.5),AE4-1.2,IF(AND(AE4&gt;=1.5,AE4&lt;2),AE4-1.5,"不在任何区间内")))))</f>
        <v>0.0349999999999999</v>
      </c>
      <c r="AF8" s="19" t="s">
        <v>28</v>
      </c>
      <c r="AG8" s="19">
        <f>IF(AND(AE4&gt;=0,AE4&lt;0.8),0,IF(AND(AE4&gt;=0.8,AE4&lt;1),0.8,IF(AND(AE4&gt;=1,AE4&lt;1.2),1,IF(AND(AE4&gt;=1.2,AE4&lt;1.5),1.2,IF(AND(AE4&gt;=1.5,AE4&lt;2),1.5,"不在任何区间内")))))</f>
        <v>1</v>
      </c>
      <c r="AH8" s="25" t="s">
        <v>27</v>
      </c>
      <c r="AI8" s="19">
        <f>IF(AND(AI4&gt;=0,AI4&lt;0.8),0,IF(AND(AI4&gt;=0.8,AI4&lt;1),AI4-0.8,IF(AND(AI4&gt;=1,AI4&lt;1.2),AI4-1,IF(AND(AI4&gt;=1.2,AI4&lt;1.5),AI4-1.2,IF(AND(AI4&gt;=1.5,AI4&lt;2),AI4-1.5,"不在任何区间内")))))</f>
        <v>0.151</v>
      </c>
      <c r="AJ8" s="19" t="s">
        <v>28</v>
      </c>
      <c r="AK8" s="19">
        <f>IF(AND(AI4&gt;=0,AI4&lt;0.8),0,IF(AND(AI4&gt;=0.8,AI4&lt;1),0.8,IF(AND(AI4&gt;=1,AI4&lt;1.2),1,IF(AND(AI4&gt;=1.2,AI4&lt;1.5),1.2,IF(AND(AI4&gt;=1.5,AI4&lt;2),1.5,"不在任何区间内")))))</f>
        <v>1</v>
      </c>
    </row>
    <row r="9" customHeight="1" spans="1:37">
      <c r="A9" s="14"/>
      <c r="B9" s="25" t="s">
        <v>29</v>
      </c>
      <c r="C9" s="26">
        <f>C4-E8</f>
        <v>0</v>
      </c>
      <c r="D9" s="20" t="s">
        <v>30</v>
      </c>
      <c r="E9" s="23">
        <f>ROUND((C9*0.25),3)</f>
        <v>0</v>
      </c>
      <c r="F9" s="25" t="s">
        <v>29</v>
      </c>
      <c r="G9" s="26">
        <f>ROUND((IF(C9+G7&gt;=0,IF((C9+G7-E9)&gt;=0,C9+G7-E9,0),0.75*C9+G8)),3)</f>
        <v>0</v>
      </c>
      <c r="H9" s="20" t="s">
        <v>30</v>
      </c>
      <c r="I9" s="23">
        <f>ROUND((G9*0.25),3)</f>
        <v>0</v>
      </c>
      <c r="J9" s="25" t="s">
        <v>29</v>
      </c>
      <c r="K9" s="26">
        <f>ROUND((IF(G9+K7&gt;=0,IF((G9+K7-I9)&gt;=0,G9+K7-I9,0),0.75*G9+K8)),3)</f>
        <v>0</v>
      </c>
      <c r="L9" s="20" t="s">
        <v>30</v>
      </c>
      <c r="M9" s="23">
        <f>ROUND((K9*0.25),3)</f>
        <v>0</v>
      </c>
      <c r="N9" s="25" t="s">
        <v>29</v>
      </c>
      <c r="O9" s="26">
        <f>ROUND((IF(K9+O7&gt;=0,IF((K9+O7-M9)&gt;=0,K9+O7-M9,0),0.75*K9+O8)),3)</f>
        <v>0.046</v>
      </c>
      <c r="P9" s="20" t="s">
        <v>30</v>
      </c>
      <c r="Q9" s="23">
        <f>ROUND((O9*0.25),3)</f>
        <v>0.012</v>
      </c>
      <c r="R9" s="25" t="s">
        <v>29</v>
      </c>
      <c r="S9" s="26">
        <f>ROUND((IF(O9+S7&gt;=0,IF((O9+S7-Q9)&gt;=0,O9+S7-Q9,0),0.75*O9+S8)),3)</f>
        <v>0.102</v>
      </c>
      <c r="T9" s="20" t="s">
        <v>30</v>
      </c>
      <c r="U9" s="23">
        <f>ROUND((S9*0.25),3)</f>
        <v>0.026</v>
      </c>
      <c r="V9" s="25" t="s">
        <v>29</v>
      </c>
      <c r="W9" s="26">
        <f>ROUND((IF(S9+W7&gt;=0,IF((S9+W7-U9)&gt;=0,S9+W7-U9,0),0.75*S9+W8)),3)</f>
        <v>0.034</v>
      </c>
      <c r="X9" s="20" t="s">
        <v>30</v>
      </c>
      <c r="Y9" s="23">
        <f>ROUND((W9*0.25),3)</f>
        <v>0.009</v>
      </c>
      <c r="Z9" s="25" t="s">
        <v>29</v>
      </c>
      <c r="AA9" s="26">
        <v>0</v>
      </c>
      <c r="AB9" s="20" t="s">
        <v>30</v>
      </c>
      <c r="AC9" s="23">
        <f>ROUND((AA9*0.25),3)</f>
        <v>0</v>
      </c>
      <c r="AD9" s="25" t="s">
        <v>29</v>
      </c>
      <c r="AE9" s="26">
        <f>ROUND((IF(AA9+AE7&gt;=0,IF((AA9+AE7-AC9)&gt;=0,AA9+AE7-AC9,0),0.75*AA9+AE8)),3)</f>
        <v>0.035</v>
      </c>
      <c r="AF9" s="20" t="s">
        <v>30</v>
      </c>
      <c r="AG9" s="23">
        <f>ROUND((AE9*0.25),3)</f>
        <v>0.009</v>
      </c>
      <c r="AH9" s="25" t="s">
        <v>29</v>
      </c>
      <c r="AI9" s="26">
        <f>ROUND((IF(AE9+AI7&gt;=0,IF((AE9+AI7-AG9)&gt;=0,AE9+AI7-AG9,0),0.75*AE9+AI8)),3)</f>
        <v>0.177</v>
      </c>
      <c r="AJ9" s="20" t="s">
        <v>30</v>
      </c>
      <c r="AK9" s="23">
        <f>ROUND((AI9*0.25),3)</f>
        <v>0.044</v>
      </c>
    </row>
    <row r="13" customHeight="1" spans="1:37">
      <c r="A13" s="14" t="s">
        <v>31</v>
      </c>
      <c r="B13" s="15" t="s">
        <v>6</v>
      </c>
      <c r="C13" s="16"/>
      <c r="D13" s="16"/>
      <c r="E13" s="16"/>
      <c r="F13" s="17" t="s">
        <v>7</v>
      </c>
      <c r="G13" s="17"/>
      <c r="H13" s="17"/>
      <c r="I13" s="17"/>
      <c r="J13" s="17" t="s">
        <v>8</v>
      </c>
      <c r="K13" s="17"/>
      <c r="L13" s="17"/>
      <c r="M13" s="17"/>
      <c r="N13" s="17" t="s">
        <v>9</v>
      </c>
      <c r="O13" s="17"/>
      <c r="P13" s="17"/>
      <c r="Q13" s="17"/>
      <c r="R13" s="17" t="s">
        <v>10</v>
      </c>
      <c r="S13" s="17"/>
      <c r="T13" s="17"/>
      <c r="U13" s="17"/>
      <c r="V13" s="17" t="s">
        <v>11</v>
      </c>
      <c r="W13" s="17"/>
      <c r="X13" s="17"/>
      <c r="Y13" s="17"/>
      <c r="Z13" s="17" t="s">
        <v>12</v>
      </c>
      <c r="AA13" s="17"/>
      <c r="AB13" s="17"/>
      <c r="AC13" s="17"/>
      <c r="AD13" s="17" t="s">
        <v>13</v>
      </c>
      <c r="AE13" s="17"/>
      <c r="AF13" s="17"/>
      <c r="AG13" s="17"/>
      <c r="AH13" s="17" t="s">
        <v>14</v>
      </c>
      <c r="AI13" s="17"/>
      <c r="AJ13" s="17"/>
      <c r="AK13" s="17"/>
    </row>
    <row r="14" customHeight="1" spans="1:37">
      <c r="A14" s="14"/>
      <c r="B14" s="18" t="s">
        <v>17</v>
      </c>
      <c r="C14" s="19">
        <v>0.951</v>
      </c>
      <c r="D14" s="19"/>
      <c r="E14" s="19"/>
      <c r="F14" s="18" t="s">
        <v>17</v>
      </c>
      <c r="G14" s="19">
        <v>0.909</v>
      </c>
      <c r="H14" s="19"/>
      <c r="I14" s="19"/>
      <c r="J14" s="18" t="s">
        <v>17</v>
      </c>
      <c r="K14" s="19">
        <v>1.032</v>
      </c>
      <c r="L14" s="19"/>
      <c r="M14" s="19"/>
      <c r="N14" s="18" t="s">
        <v>17</v>
      </c>
      <c r="O14" s="19">
        <v>1.067</v>
      </c>
      <c r="P14" s="19"/>
      <c r="Q14" s="19"/>
      <c r="R14" s="18" t="s">
        <v>17</v>
      </c>
      <c r="S14" s="19">
        <v>1.105</v>
      </c>
      <c r="T14" s="19"/>
      <c r="U14" s="19"/>
      <c r="V14" s="18" t="s">
        <v>17</v>
      </c>
      <c r="W14" s="19">
        <v>0.909</v>
      </c>
      <c r="X14" s="19"/>
      <c r="Y14" s="19"/>
      <c r="Z14" s="18" t="s">
        <v>17</v>
      </c>
      <c r="AA14" s="19">
        <v>0.874</v>
      </c>
      <c r="AB14" s="19"/>
      <c r="AC14" s="19"/>
      <c r="AD14" s="18" t="s">
        <v>17</v>
      </c>
      <c r="AE14" s="19">
        <v>0.944</v>
      </c>
      <c r="AF14" s="19"/>
      <c r="AG14" s="19"/>
      <c r="AH14" s="18" t="s">
        <v>17</v>
      </c>
      <c r="AI14" s="19">
        <v>0.979</v>
      </c>
      <c r="AJ14" s="19"/>
      <c r="AK14" s="19"/>
    </row>
    <row r="15" customHeight="1" spans="1:37">
      <c r="A15" s="14"/>
      <c r="B15" s="20" t="s">
        <v>18</v>
      </c>
      <c r="C15" s="21">
        <f>C14</f>
        <v>0.951</v>
      </c>
      <c r="D15" s="2"/>
      <c r="E15" s="3"/>
      <c r="F15" s="20" t="s">
        <v>18</v>
      </c>
      <c r="G15" s="21">
        <f>G14+C19</f>
        <v>1.06</v>
      </c>
      <c r="H15" s="2"/>
      <c r="I15" s="3"/>
      <c r="J15" s="20" t="s">
        <v>18</v>
      </c>
      <c r="K15" s="21">
        <f>K14+G19</f>
        <v>1.054</v>
      </c>
      <c r="L15" s="2"/>
      <c r="M15" s="3"/>
      <c r="N15" s="20" t="s">
        <v>18</v>
      </c>
      <c r="O15" s="21">
        <f>O14+K19</f>
        <v>1.067</v>
      </c>
      <c r="P15" s="2"/>
      <c r="Q15" s="3"/>
      <c r="R15" s="20" t="s">
        <v>18</v>
      </c>
      <c r="S15" s="21">
        <f>S14+O19</f>
        <v>1.172</v>
      </c>
      <c r="T15" s="2"/>
      <c r="U15" s="3"/>
      <c r="V15" s="20" t="s">
        <v>18</v>
      </c>
      <c r="W15" s="21">
        <f>W14+S19</f>
        <v>1.064</v>
      </c>
      <c r="X15" s="2"/>
      <c r="Y15" s="3"/>
      <c r="Z15" s="20" t="s">
        <v>18</v>
      </c>
      <c r="AA15" s="21">
        <f>AA14+W19</f>
        <v>0.899</v>
      </c>
      <c r="AB15" s="2"/>
      <c r="AC15" s="3"/>
      <c r="AD15" s="20" t="s">
        <v>18</v>
      </c>
      <c r="AE15" s="21">
        <f>AE14+AA19</f>
        <v>1.037</v>
      </c>
      <c r="AF15" s="2"/>
      <c r="AG15" s="3"/>
      <c r="AH15" s="20" t="s">
        <v>18</v>
      </c>
      <c r="AI15" s="21">
        <f>AI14+AE19</f>
        <v>0.993</v>
      </c>
      <c r="AJ15" s="2"/>
      <c r="AK15" s="3"/>
    </row>
    <row r="16" customHeight="1" spans="1:37">
      <c r="A16" s="14"/>
      <c r="B16" s="22" t="s">
        <v>19</v>
      </c>
      <c r="C16" s="19">
        <f>E18</f>
        <v>0.8</v>
      </c>
      <c r="D16" s="19"/>
      <c r="E16" s="19"/>
      <c r="F16" s="22" t="s">
        <v>19</v>
      </c>
      <c r="G16" s="19">
        <f>IF(C19+G17&gt;=0,I17,I18)</f>
        <v>1</v>
      </c>
      <c r="H16" s="19"/>
      <c r="I16" s="19"/>
      <c r="J16" s="22" t="s">
        <v>19</v>
      </c>
      <c r="K16" s="19">
        <f>IF(G19+K17&gt;=0,M17,M18)</f>
        <v>1</v>
      </c>
      <c r="L16" s="19"/>
      <c r="M16" s="19"/>
      <c r="N16" s="22" t="s">
        <v>19</v>
      </c>
      <c r="O16" s="19">
        <f>IF(K19+O17&gt;=0,Q17,Q18)</f>
        <v>1</v>
      </c>
      <c r="P16" s="19"/>
      <c r="Q16" s="19"/>
      <c r="R16" s="22" t="s">
        <v>19</v>
      </c>
      <c r="S16" s="19">
        <f>IF(O19+S17&gt;=0,U17,U18)</f>
        <v>1</v>
      </c>
      <c r="T16" s="19"/>
      <c r="U16" s="19"/>
      <c r="V16" s="22" t="s">
        <v>19</v>
      </c>
      <c r="W16" s="19">
        <f>IF(S19+W17&gt;=0,Y17,Y18)</f>
        <v>1</v>
      </c>
      <c r="X16" s="19"/>
      <c r="Y16" s="19"/>
      <c r="Z16" s="22" t="s">
        <v>19</v>
      </c>
      <c r="AA16" s="19">
        <f>IF(W19+AA17&gt;=0,AC17,AC18)</f>
        <v>0.8</v>
      </c>
      <c r="AB16" s="19"/>
      <c r="AC16" s="19"/>
      <c r="AD16" s="22" t="s">
        <v>19</v>
      </c>
      <c r="AE16" s="19">
        <f>IF(AA19+AE17&gt;=0,AG17,AG18)</f>
        <v>1</v>
      </c>
      <c r="AF16" s="19"/>
      <c r="AG16" s="19"/>
      <c r="AH16" s="22" t="s">
        <v>19</v>
      </c>
      <c r="AI16" s="19">
        <f>IF(AE19+AI17&gt;=0,AK17,AK18)</f>
        <v>0.8</v>
      </c>
      <c r="AJ16" s="19"/>
      <c r="AK16" s="19"/>
    </row>
    <row r="17" customHeight="1" spans="1:37">
      <c r="A17" s="14"/>
      <c r="B17" s="23" t="s">
        <v>25</v>
      </c>
      <c r="C17" s="24">
        <f>IF(AND(C14&gt;=0,C14&lt;0.8),C14-0.8,IF(AND(C14&gt;=0.8,C14&lt;1),C14-1,IF(AND(C14&gt;=1,C14&lt;1.2),C14-1.2,IF(AND(C14&gt;=1.2,C14&lt;1.5),C14-1.5,IF(AND(C14&gt;=1.5,C14&lt;2),C14-2,"不在任何区间内")))))</f>
        <v>-0.049</v>
      </c>
      <c r="D17" s="24" t="s">
        <v>26</v>
      </c>
      <c r="E17" s="24">
        <f>IF(AND(C14&gt;=0,C14&lt;0.8),0.8,IF(AND(C14&gt;=0.8,C14&lt;1),1,IF(AND(C14&gt;=1,C14&lt;1.2),1.2,IF(AND(C14&gt;=1.2,C14&lt;1.5),1.5,IF(AND(C14&gt;=1.5,C14&lt;2),2,"不在任何区间内")))))</f>
        <v>1</v>
      </c>
      <c r="F17" s="23" t="s">
        <v>25</v>
      </c>
      <c r="G17" s="24">
        <f>IF(AND(G14&gt;=0,G14&lt;0.8),G14-0.8,IF(AND(G14&gt;=0.8,G14&lt;1),G14-1,IF(AND(G14&gt;=1,G14&lt;1.2),G14-1.2,IF(AND(G14&gt;=1.2,G14&lt;1.5),G14-1.5,IF(AND(G14&gt;=1.5,G14&lt;2),G14-2,"不在任何区间内")))))</f>
        <v>-0.091</v>
      </c>
      <c r="H17" s="24" t="s">
        <v>26</v>
      </c>
      <c r="I17" s="24">
        <f>IF(AND(G14&gt;=0,G14&lt;0.8),0.8,IF(AND(G14&gt;=0.8,G14&lt;1),1,IF(AND(G14&gt;=1,G14&lt;1.2),1.2,IF(AND(G14&gt;=1.2,G14&lt;1.5),1.5,IF(AND(G14&gt;=1.5,G14&lt;2),2,"不在任何区间内")))))</f>
        <v>1</v>
      </c>
      <c r="J17" s="23" t="s">
        <v>25</v>
      </c>
      <c r="K17" s="24">
        <f>IF(AND(K14&gt;=0,K14&lt;0.8),K14-0.8,IF(AND(K14&gt;=0.8,K14&lt;1),K14-1,IF(AND(K14&gt;=1,K14&lt;1.2),K14-1.2,IF(AND(K14&gt;=1.2,K14&lt;1.5),K14-1.5,IF(AND(K14&gt;=1.5,K14&lt;2),K14-2,"不在任何区间内")))))</f>
        <v>-0.168</v>
      </c>
      <c r="L17" s="24" t="s">
        <v>26</v>
      </c>
      <c r="M17" s="24">
        <f>IF(AND(K14&gt;=0,K14&lt;0.8),0.8,IF(AND(K14&gt;=0.8,K14&lt;1),1,IF(AND(K14&gt;=1,K14&lt;1.2),1.2,IF(AND(K14&gt;=1.2,K14&lt;1.5),1.5,IF(AND(K14&gt;=1.5,K14&lt;2),2,"不在任何区间内")))))</f>
        <v>1.2</v>
      </c>
      <c r="N17" s="23" t="s">
        <v>25</v>
      </c>
      <c r="O17" s="24">
        <f>IF(AND(O14&gt;=0,O14&lt;0.8),O14-0.8,IF(AND(O14&gt;=0.8,O14&lt;1),O14-1,IF(AND(O14&gt;=1,O14&lt;1.2),O14-1.2,IF(AND(O14&gt;=1.2,O14&lt;1.5),O14-1.5,IF(AND(O14&gt;=1.5,O14&lt;2),O14-2,"不在任何区间内")))))</f>
        <v>-0.133</v>
      </c>
      <c r="P17" s="24" t="s">
        <v>26</v>
      </c>
      <c r="Q17" s="24">
        <f>IF(AND(O14&gt;=0,O14&lt;0.8),0.8,IF(AND(O14&gt;=0.8,O14&lt;1),1,IF(AND(O14&gt;=1,O14&lt;1.2),1.2,IF(AND(O14&gt;=1.2,O14&lt;1.5),1.5,IF(AND(O14&gt;=1.5,O14&lt;2),2,"不在任何区间内")))))</f>
        <v>1.2</v>
      </c>
      <c r="R17" s="23" t="s">
        <v>25</v>
      </c>
      <c r="S17" s="24">
        <f>IF(AND(S14&gt;=0,S14&lt;0.8),S14-0.8,IF(AND(S14&gt;=0.8,S14&lt;1),S14-1,IF(AND(S14&gt;=1,S14&lt;1.2),S14-1.2,IF(AND(S14&gt;=1.2,S14&lt;1.5),S14-1.5,IF(AND(S14&gt;=1.5,S14&lt;2),S14-2,"不在任何区间内")))))</f>
        <v>-0.095</v>
      </c>
      <c r="T17" s="24" t="s">
        <v>26</v>
      </c>
      <c r="U17" s="24">
        <f>IF(AND(S14&gt;=0,S14&lt;0.8),0.8,IF(AND(S14&gt;=0.8,S14&lt;1),1,IF(AND(S14&gt;=1,S14&lt;1.2),1.2,IF(AND(S14&gt;=1.2,S14&lt;1.5),1.5,IF(AND(S14&gt;=1.5,S14&lt;2),2,"不在任何区间内")))))</f>
        <v>1.2</v>
      </c>
      <c r="V17" s="23" t="s">
        <v>25</v>
      </c>
      <c r="W17" s="24">
        <f>IF(AND(W14&gt;=0,W14&lt;0.8),W14-0.8,IF(AND(W14&gt;=0.8,W14&lt;1),W14-1,IF(AND(W14&gt;=1,W14&lt;1.2),W14-1.2,IF(AND(W14&gt;=1.2,W14&lt;1.5),W14-1.5,IF(AND(W14&gt;=1.5,W14&lt;2),W14-2,"不在任何区间内")))))</f>
        <v>-0.091</v>
      </c>
      <c r="X17" s="24" t="s">
        <v>26</v>
      </c>
      <c r="Y17" s="24">
        <f>IF(AND(W14&gt;=0,W14&lt;0.8),0.8,IF(AND(W14&gt;=0.8,W14&lt;1),1,IF(AND(W14&gt;=1,W14&lt;1.2),1.2,IF(AND(W14&gt;=1.2,W14&lt;1.5),1.5,IF(AND(W14&gt;=1.5,W14&lt;2),2,"不在任何区间内")))))</f>
        <v>1</v>
      </c>
      <c r="Z17" s="23" t="s">
        <v>25</v>
      </c>
      <c r="AA17" s="24">
        <f>IF(AND(AA14&gt;=0,AA14&lt;0.8),AA14-0.8,IF(AND(AA14&gt;=0.8,AA14&lt;1),AA14-1,IF(AND(AA14&gt;=1,AA14&lt;1.2),AA14-1.2,IF(AND(AA14&gt;=1.2,AA14&lt;1.5),AA14-1.5,IF(AND(AA14&gt;=1.5,AA14&lt;2),AA14-2,"不在任何区间内")))))</f>
        <v>-0.126</v>
      </c>
      <c r="AB17" s="24" t="s">
        <v>26</v>
      </c>
      <c r="AC17" s="24">
        <f>IF(AND(AA14&gt;=0,AA14&lt;0.8),0.8,IF(AND(AA14&gt;=0.8,AA14&lt;1),1,IF(AND(AA14&gt;=1,AA14&lt;1.2),1.2,IF(AND(AA14&gt;=1.2,AA14&lt;1.5),1.5,IF(AND(AA14&gt;=1.5,AA14&lt;2),2,"不在任何区间内")))))</f>
        <v>1</v>
      </c>
      <c r="AD17" s="23" t="s">
        <v>25</v>
      </c>
      <c r="AE17" s="24">
        <f>IF(AND(AE14&gt;=0,AE14&lt;0.8),AE14-0.8,IF(AND(AE14&gt;=0.8,AE14&lt;1),AE14-1,IF(AND(AE14&gt;=1,AE14&lt;1.2),AE14-1.2,IF(AND(AE14&gt;=1.2,AE14&lt;1.5),AE14-1.5,IF(AND(AE14&gt;=1.5,AE14&lt;2),AE14-2,"不在任何区间内")))))</f>
        <v>-0.056</v>
      </c>
      <c r="AF17" s="24" t="s">
        <v>26</v>
      </c>
      <c r="AG17" s="24">
        <f>IF(AND(AE14&gt;=0,AE14&lt;0.8),0.8,IF(AND(AE14&gt;=0.8,AE14&lt;1),1,IF(AND(AE14&gt;=1,AE14&lt;1.2),1.2,IF(AND(AE14&gt;=1.2,AE14&lt;1.5),1.5,IF(AND(AE14&gt;=1.5,AE14&lt;2),2,"不在任何区间内")))))</f>
        <v>1</v>
      </c>
      <c r="AH17" s="23" t="s">
        <v>25</v>
      </c>
      <c r="AI17" s="24">
        <f>IF(AND(AI14&gt;=0,AI14&lt;0.8),AI14-0.8,IF(AND(AI14&gt;=0.8,AI14&lt;1),AI14-1,IF(AND(AI14&gt;=1,AI14&lt;1.2),AI14-1.2,IF(AND(AI14&gt;=1.2,AI14&lt;1.5),AI14-1.5,IF(AND(AI14&gt;=1.5,AI14&lt;2),AI14-2,"不在任何区间内")))))</f>
        <v>-0.021</v>
      </c>
      <c r="AJ17" s="24" t="s">
        <v>26</v>
      </c>
      <c r="AK17" s="24">
        <f>IF(AND(AI14&gt;=0,AI14&lt;0.8),0.8,IF(AND(AI14&gt;=0.8,AI14&lt;1),1,IF(AND(AI14&gt;=1,AI14&lt;1.2),1.2,IF(AND(AI14&gt;=1.2,AI14&lt;1.5),1.5,IF(AND(AI14&gt;=1.5,AI14&lt;2),2,"不在任何区间内")))))</f>
        <v>1</v>
      </c>
    </row>
    <row r="18" customHeight="1" spans="1:37">
      <c r="A18" s="14"/>
      <c r="B18" s="25" t="s">
        <v>27</v>
      </c>
      <c r="C18" s="19">
        <f>IF(AND(C14&gt;=0,C14&lt;0.8),0,IF(AND(C14&gt;=0.8,C14&lt;1),C14-0.8,IF(AND(C14&gt;=1,C14&lt;1.2),C14-1,IF(AND(C14&gt;=1.2,C14&lt;1.5),C14-1.2,IF(AND(C14&gt;=1.5,C14&lt;2),C14-1.5,"不在任何区间内")))))</f>
        <v>0.151</v>
      </c>
      <c r="D18" s="19" t="s">
        <v>28</v>
      </c>
      <c r="E18" s="19">
        <f>IF(AND(C14&gt;=0,C14&lt;0.8),0,IF(AND(C14&gt;=0.8,C14&lt;1),0.8,IF(AND(C14&gt;=1,C14&lt;1.2),1,IF(AND(C14&gt;=1.2,C14&lt;1.5),1.2,IF(AND(C14&gt;=1.5,C14&lt;2),1.5,"不在任何区间内")))))</f>
        <v>0.8</v>
      </c>
      <c r="F18" s="25" t="s">
        <v>27</v>
      </c>
      <c r="G18" s="19">
        <f>IF(AND(G14&gt;=0,G14&lt;0.8),0,IF(AND(G14&gt;=0.8,G14&lt;1),G14-0.8,IF(AND(G14&gt;=1,G14&lt;1.2),G14-1,IF(AND(G14&gt;=1.2,G14&lt;1.5),G14-1.2,IF(AND(G14&gt;=1.5,G14&lt;2),G14-1.5,"不在任何区间内")))))</f>
        <v>0.109</v>
      </c>
      <c r="H18" s="19" t="s">
        <v>28</v>
      </c>
      <c r="I18" s="19">
        <f>IF(AND(G14&gt;=0,G14&lt;0.8),0,IF(AND(G14&gt;=0.8,G14&lt;1),0.8,IF(AND(G14&gt;=1,G14&lt;1.2),1,IF(AND(G14&gt;=1.2,G14&lt;1.5),1.2,IF(AND(G14&gt;=1.5,G14&lt;2),1.5,"不在任何区间内")))))</f>
        <v>0.8</v>
      </c>
      <c r="J18" s="25" t="s">
        <v>27</v>
      </c>
      <c r="K18" s="19">
        <f>IF(AND(K14&gt;=0,K14&lt;0.8),0,IF(AND(K14&gt;=0.8,K14&lt;1),K14-0.8,IF(AND(K14&gt;=1,K14&lt;1.2),K14-1,IF(AND(K14&gt;=1.2,K14&lt;1.5),K14-1.2,IF(AND(K14&gt;=1.5,K14&lt;2),K14-1.5,"不在任何区间内")))))</f>
        <v>0.032</v>
      </c>
      <c r="L18" s="19" t="s">
        <v>28</v>
      </c>
      <c r="M18" s="19">
        <f>IF(AND(K14&gt;=0,K14&lt;0.8),0,IF(AND(K14&gt;=0.8,K14&lt;1),0.8,IF(AND(K14&gt;=1,K14&lt;1.2),1,IF(AND(K14&gt;=1.2,K14&lt;1.5),1.2,IF(AND(K14&gt;=1.5,K14&lt;2),1.5,"不在任何区间内")))))</f>
        <v>1</v>
      </c>
      <c r="N18" s="25" t="s">
        <v>27</v>
      </c>
      <c r="O18" s="19">
        <f>IF(AND(O14&gt;=0,O14&lt;0.8),0,IF(AND(O14&gt;=0.8,O14&lt;1),O14-0.8,IF(AND(O14&gt;=1,O14&lt;1.2),O14-1,IF(AND(O14&gt;=1.2,O14&lt;1.5),O14-1.2,IF(AND(O14&gt;=1.5,O14&lt;2),O14-1.5,"不在任何区间内")))))</f>
        <v>0.0669999999999999</v>
      </c>
      <c r="P18" s="19" t="s">
        <v>28</v>
      </c>
      <c r="Q18" s="19">
        <f>IF(AND(O14&gt;=0,O14&lt;0.8),0,IF(AND(O14&gt;=0.8,O14&lt;1),0.8,IF(AND(O14&gt;=1,O14&lt;1.2),1,IF(AND(O14&gt;=1.2,O14&lt;1.5),1.2,IF(AND(O14&gt;=1.5,O14&lt;2),1.5,"不在任何区间内")))))</f>
        <v>1</v>
      </c>
      <c r="R18" s="25" t="s">
        <v>27</v>
      </c>
      <c r="S18" s="19">
        <f>IF(AND(S14&gt;=0,S14&lt;0.8),0,IF(AND(S14&gt;=0.8,S14&lt;1),S14-0.8,IF(AND(S14&gt;=1,S14&lt;1.2),S14-1,IF(AND(S14&gt;=1.2,S14&lt;1.5),S14-1.2,IF(AND(S14&gt;=1.5,S14&lt;2),S14-1.5,"不在任何区间内")))))</f>
        <v>0.105</v>
      </c>
      <c r="T18" s="19" t="s">
        <v>28</v>
      </c>
      <c r="U18" s="19">
        <f>IF(AND(S14&gt;=0,S14&lt;0.8),0,IF(AND(S14&gt;=0.8,S14&lt;1),0.8,IF(AND(S14&gt;=1,S14&lt;1.2),1,IF(AND(S14&gt;=1.2,S14&lt;1.5),1.2,IF(AND(S14&gt;=1.5,S14&lt;2),1.5,"不在任何区间内")))))</f>
        <v>1</v>
      </c>
      <c r="V18" s="25" t="s">
        <v>27</v>
      </c>
      <c r="W18" s="19">
        <f>IF(AND(W14&gt;=0,W14&lt;0.8),0,IF(AND(W14&gt;=0.8,W14&lt;1),W14-0.8,IF(AND(W14&gt;=1,W14&lt;1.2),W14-1,IF(AND(W14&gt;=1.2,W14&lt;1.5),W14-1.2,IF(AND(W14&gt;=1.5,W14&lt;2),W14-1.5,"不在任何区间内")))))</f>
        <v>0.109</v>
      </c>
      <c r="X18" s="19" t="s">
        <v>28</v>
      </c>
      <c r="Y18" s="19">
        <f>IF(AND(W14&gt;=0,W14&lt;0.8),0,IF(AND(W14&gt;=0.8,W14&lt;1),0.8,IF(AND(W14&gt;=1,W14&lt;1.2),1,IF(AND(W14&gt;=1.2,W14&lt;1.5),1.2,IF(AND(W14&gt;=1.5,W14&lt;2),1.5,"不在任何区间内")))))</f>
        <v>0.8</v>
      </c>
      <c r="Z18" s="25" t="s">
        <v>27</v>
      </c>
      <c r="AA18" s="19">
        <f>IF(AND(AA14&gt;=0,AA14&lt;0.8),0,IF(AND(AA14&gt;=0.8,AA14&lt;1),AA14-0.8,IF(AND(AA14&gt;=1,AA14&lt;1.2),AA14-1,IF(AND(AA14&gt;=1.2,AA14&lt;1.5),AA14-1.2,IF(AND(AA14&gt;=1.5,AA14&lt;2),AA14-1.5,"不在任何区间内")))))</f>
        <v>0.074</v>
      </c>
      <c r="AB18" s="19" t="s">
        <v>28</v>
      </c>
      <c r="AC18" s="19">
        <f>IF(AND(AA14&gt;=0,AA14&lt;0.8),0,IF(AND(AA14&gt;=0.8,AA14&lt;1),0.8,IF(AND(AA14&gt;=1,AA14&lt;1.2),1,IF(AND(AA14&gt;=1.2,AA14&lt;1.5),1.2,IF(AND(AA14&gt;=1.5,AA14&lt;2),1.5,"不在任何区间内")))))</f>
        <v>0.8</v>
      </c>
      <c r="AD18" s="25" t="s">
        <v>27</v>
      </c>
      <c r="AE18" s="19">
        <f>IF(AND(AE14&gt;=0,AE14&lt;0.8),0,IF(AND(AE14&gt;=0.8,AE14&lt;1),AE14-0.8,IF(AND(AE14&gt;=1,AE14&lt;1.2),AE14-1,IF(AND(AE14&gt;=1.2,AE14&lt;1.5),AE14-1.2,IF(AND(AE14&gt;=1.5,AE14&lt;2),AE14-1.5,"不在任何区间内")))))</f>
        <v>0.144</v>
      </c>
      <c r="AF18" s="19" t="s">
        <v>28</v>
      </c>
      <c r="AG18" s="19">
        <f>IF(AND(AE14&gt;=0,AE14&lt;0.8),0,IF(AND(AE14&gt;=0.8,AE14&lt;1),0.8,IF(AND(AE14&gt;=1,AE14&lt;1.2),1,IF(AND(AE14&gt;=1.2,AE14&lt;1.5),1.2,IF(AND(AE14&gt;=1.5,AE14&lt;2),1.5,"不在任何区间内")))))</f>
        <v>0.8</v>
      </c>
      <c r="AH18" s="25" t="s">
        <v>27</v>
      </c>
      <c r="AI18" s="19">
        <f>IF(AND(AI14&gt;=0,AI14&lt;0.8),0,IF(AND(AI14&gt;=0.8,AI14&lt;1),AI14-0.8,IF(AND(AI14&gt;=1,AI14&lt;1.2),AI14-1,IF(AND(AI14&gt;=1.2,AI14&lt;1.5),AI14-1.2,IF(AND(AI14&gt;=1.5,AI14&lt;2),AI14-1.5,"不在任何区间内")))))</f>
        <v>0.179</v>
      </c>
      <c r="AJ18" s="19" t="s">
        <v>28</v>
      </c>
      <c r="AK18" s="19">
        <f>IF(AND(AI14&gt;=0,AI14&lt;0.8),0,IF(AND(AI14&gt;=0.8,AI14&lt;1),0.8,IF(AND(AI14&gt;=1,AI14&lt;1.2),1,IF(AND(AI14&gt;=1.2,AI14&lt;1.5),1.2,IF(AND(AI14&gt;=1.5,AI14&lt;2),1.5,"不在任何区间内")))))</f>
        <v>0.8</v>
      </c>
    </row>
    <row r="19" customHeight="1" spans="1:37">
      <c r="A19" s="14"/>
      <c r="B19" s="25" t="s">
        <v>29</v>
      </c>
      <c r="C19" s="26">
        <f>C14-E18</f>
        <v>0.151</v>
      </c>
      <c r="D19" s="20" t="s">
        <v>30</v>
      </c>
      <c r="E19" s="23">
        <f>ROUND((C19*0.25),3)</f>
        <v>0.038</v>
      </c>
      <c r="F19" s="25" t="s">
        <v>29</v>
      </c>
      <c r="G19" s="26">
        <f>ROUND((IF(C19+G17&gt;=0,IF((C19+G17-E19)&gt;=0,C19+G17-E19,0),0.75*C19+G18)),3)</f>
        <v>0.022</v>
      </c>
      <c r="H19" s="20" t="s">
        <v>30</v>
      </c>
      <c r="I19" s="23">
        <f>ROUND((G19*0.25),3)</f>
        <v>0.006</v>
      </c>
      <c r="J19" s="25" t="s">
        <v>29</v>
      </c>
      <c r="K19" s="26">
        <v>0</v>
      </c>
      <c r="L19" s="20" t="s">
        <v>30</v>
      </c>
      <c r="M19" s="23">
        <f>ROUND((K19*0.25),3)</f>
        <v>0</v>
      </c>
      <c r="N19" s="25" t="s">
        <v>29</v>
      </c>
      <c r="O19" s="26">
        <f>ROUND((IF(K19+O17&gt;=0,IF((K19+O17-M19)&gt;=0,K19+O17-M19,0),0.75*K19+O18)),3)</f>
        <v>0.067</v>
      </c>
      <c r="P19" s="20" t="s">
        <v>30</v>
      </c>
      <c r="Q19" s="23">
        <f>ROUND((O19*0.25),3)</f>
        <v>0.017</v>
      </c>
      <c r="R19" s="25" t="s">
        <v>29</v>
      </c>
      <c r="S19" s="26">
        <f>ROUND((IF(O19+S17&gt;=0,IF((O19+S17-Q19)&gt;=0,O19+S17-Q19,0),0.75*O19+S18)),3)</f>
        <v>0.155</v>
      </c>
      <c r="T19" s="20" t="s">
        <v>30</v>
      </c>
      <c r="U19" s="23">
        <f>ROUND((S19*0.25),3)</f>
        <v>0.039</v>
      </c>
      <c r="V19" s="25" t="s">
        <v>29</v>
      </c>
      <c r="W19" s="26">
        <f>ROUND((IF(S19+W17&gt;=0,IF((S19+W17-U19)&gt;=0,S19+W17-U19,0),0.75*S19+W18)),3)</f>
        <v>0.025</v>
      </c>
      <c r="X19" s="20" t="s">
        <v>30</v>
      </c>
      <c r="Y19" s="23">
        <f>ROUND((W19*0.25),3)</f>
        <v>0.006</v>
      </c>
      <c r="Z19" s="25" t="s">
        <v>29</v>
      </c>
      <c r="AA19" s="26">
        <f>ROUND((IF(W19+AA17&gt;=0,IF((W19+AA17-Y19)&gt;=0,W19+AA17-Y19,0),0.75*W19+AA18)),3)</f>
        <v>0.093</v>
      </c>
      <c r="AB19" s="20" t="s">
        <v>30</v>
      </c>
      <c r="AC19" s="23">
        <f>ROUND((AA19*0.25),3)</f>
        <v>0.023</v>
      </c>
      <c r="AD19" s="25" t="s">
        <v>29</v>
      </c>
      <c r="AE19" s="26">
        <f>ROUND((IF(AA19+AE17&gt;=0,IF((AA19+AE17-AC19)&gt;=0,AA19+AE17-AC19,0),0.75*AA19+AE18)),3)</f>
        <v>0.014</v>
      </c>
      <c r="AF19" s="20" t="s">
        <v>30</v>
      </c>
      <c r="AG19" s="23">
        <f>ROUND((AE19*0.25),3)</f>
        <v>0.004</v>
      </c>
      <c r="AH19" s="25" t="s">
        <v>29</v>
      </c>
      <c r="AI19" s="26">
        <f>ROUND((IF(AE19+AI17&gt;=0,IF((AE19+AI17-AG19)&gt;=0,AE19+AI17-AG19,0),0.75*AE19+AI18)),3)</f>
        <v>0.19</v>
      </c>
      <c r="AJ19" s="20" t="s">
        <v>30</v>
      </c>
      <c r="AK19" s="23">
        <f>ROUND((AI19*0.25),3)</f>
        <v>0.048</v>
      </c>
    </row>
  </sheetData>
  <mergeCells count="78">
    <mergeCell ref="A1:AK1"/>
    <mergeCell ref="B2:E2"/>
    <mergeCell ref="F2:U2"/>
    <mergeCell ref="V2:AK2"/>
    <mergeCell ref="B3:E3"/>
    <mergeCell ref="F3:I3"/>
    <mergeCell ref="J3:M3"/>
    <mergeCell ref="N3:Q3"/>
    <mergeCell ref="R3:U3"/>
    <mergeCell ref="V3:Y3"/>
    <mergeCell ref="Z3:AC3"/>
    <mergeCell ref="AD3:AG3"/>
    <mergeCell ref="AH3:AK3"/>
    <mergeCell ref="C4:E4"/>
    <mergeCell ref="G4:I4"/>
    <mergeCell ref="K4:M4"/>
    <mergeCell ref="O4:Q4"/>
    <mergeCell ref="S4:U4"/>
    <mergeCell ref="W4:Y4"/>
    <mergeCell ref="AA4:AC4"/>
    <mergeCell ref="AE4:AG4"/>
    <mergeCell ref="AI4:AK4"/>
    <mergeCell ref="C5:E5"/>
    <mergeCell ref="G5:I5"/>
    <mergeCell ref="K5:M5"/>
    <mergeCell ref="O5:Q5"/>
    <mergeCell ref="S5:U5"/>
    <mergeCell ref="W5:Y5"/>
    <mergeCell ref="AA5:AC5"/>
    <mergeCell ref="AE5:AG5"/>
    <mergeCell ref="AI5:AK5"/>
    <mergeCell ref="C6:E6"/>
    <mergeCell ref="G6:I6"/>
    <mergeCell ref="K6:M6"/>
    <mergeCell ref="O6:Q6"/>
    <mergeCell ref="S6:U6"/>
    <mergeCell ref="W6:Y6"/>
    <mergeCell ref="AA6:AC6"/>
    <mergeCell ref="AE6:AG6"/>
    <mergeCell ref="AI6:AK6"/>
    <mergeCell ref="B13:E13"/>
    <mergeCell ref="F13:I13"/>
    <mergeCell ref="J13:M13"/>
    <mergeCell ref="N13:Q13"/>
    <mergeCell ref="R13:U13"/>
    <mergeCell ref="V13:Y13"/>
    <mergeCell ref="Z13:AC13"/>
    <mergeCell ref="AD13:AG13"/>
    <mergeCell ref="AH13:AK13"/>
    <mergeCell ref="C14:E14"/>
    <mergeCell ref="G14:I14"/>
    <mergeCell ref="K14:M14"/>
    <mergeCell ref="O14:Q14"/>
    <mergeCell ref="S14:U14"/>
    <mergeCell ref="W14:Y14"/>
    <mergeCell ref="AA14:AC14"/>
    <mergeCell ref="AE14:AG14"/>
    <mergeCell ref="AI14:AK14"/>
    <mergeCell ref="C15:E15"/>
    <mergeCell ref="G15:I15"/>
    <mergeCell ref="K15:M15"/>
    <mergeCell ref="O15:Q15"/>
    <mergeCell ref="S15:U15"/>
    <mergeCell ref="W15:Y15"/>
    <mergeCell ref="AA15:AC15"/>
    <mergeCell ref="AE15:AG15"/>
    <mergeCell ref="AI15:AK15"/>
    <mergeCell ref="C16:E16"/>
    <mergeCell ref="G16:I16"/>
    <mergeCell ref="K16:M16"/>
    <mergeCell ref="O16:Q16"/>
    <mergeCell ref="S16:U16"/>
    <mergeCell ref="W16:Y16"/>
    <mergeCell ref="AA16:AC16"/>
    <mergeCell ref="AE16:AG16"/>
    <mergeCell ref="AI16:AK16"/>
    <mergeCell ref="A3:A9"/>
    <mergeCell ref="A13:A1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绩效一览表</vt:lpstr>
      <vt:lpstr>结余表测试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伍浩贤</cp:lastModifiedBy>
  <dcterms:created xsi:type="dcterms:W3CDTF">2006-09-16T00:00:00Z</dcterms:created>
  <dcterms:modified xsi:type="dcterms:W3CDTF">2026-04-02T06:59:08Z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B656FCE8EB88451CA01A9FFDB86C7014_12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